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7850ea46de5e575/Desktop/Work Space/ICfS Internship/"/>
    </mc:Choice>
  </mc:AlternateContent>
  <xr:revisionPtr revIDLastSave="0" documentId="8_{A379B1C7-5A96-407A-9C16-A70467C785B2}" xr6:coauthVersionLast="47" xr6:coauthVersionMax="47" xr10:uidLastSave="{00000000-0000-0000-0000-000000000000}"/>
  <bookViews>
    <workbookView xWindow="-110" yWindow="-110" windowWidth="19420" windowHeight="10300" tabRatio="500" firstSheet="2" activeTab="4" xr2:uid="{00000000-000D-0000-FFFF-FFFF00000000}"/>
  </bookViews>
  <sheets>
    <sheet name="Assumptions" sheetId="1" r:id="rId1"/>
    <sheet name="BNG Calculation" sheetId="2" r:id="rId2"/>
    <sheet name="Commercial Forecast" sheetId="3" r:id="rId3"/>
    <sheet name="Output Summary" sheetId="4" r:id="rId4"/>
    <sheet name="Chart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7" i="3" l="1"/>
  <c r="E28" i="3" s="1"/>
  <c r="D27" i="3"/>
  <c r="D28" i="3" s="1"/>
  <c r="C27" i="3"/>
  <c r="B27" i="3"/>
  <c r="F26" i="3"/>
  <c r="E26" i="3"/>
  <c r="F25" i="3"/>
  <c r="E25" i="3"/>
  <c r="F24" i="3"/>
  <c r="F27" i="3" s="1"/>
  <c r="F28" i="3" s="1"/>
  <c r="E24" i="3"/>
  <c r="D24" i="3"/>
  <c r="D22" i="3"/>
  <c r="C22" i="3"/>
  <c r="C28" i="3" s="1"/>
  <c r="B22" i="3"/>
  <c r="B28" i="3" s="1"/>
  <c r="B29" i="3" s="1"/>
  <c r="C29" i="3" s="1"/>
  <c r="D29" i="3" s="1"/>
  <c r="E29" i="3" s="1"/>
  <c r="F29" i="3" s="1"/>
  <c r="F21" i="3"/>
  <c r="F22" i="3" s="1"/>
  <c r="E21" i="3"/>
  <c r="E22" i="3" s="1"/>
  <c r="D21" i="3"/>
  <c r="C21" i="3"/>
  <c r="B21" i="3"/>
  <c r="B20" i="3"/>
  <c r="B15" i="3"/>
  <c r="B16" i="3" s="1"/>
  <c r="B14" i="3"/>
  <c r="F13" i="3"/>
  <c r="E13" i="3"/>
  <c r="D13" i="3"/>
  <c r="F12" i="3"/>
  <c r="F14" i="3" s="1"/>
  <c r="F15" i="3" s="1"/>
  <c r="E12" i="3"/>
  <c r="E14" i="3" s="1"/>
  <c r="E15" i="3" s="1"/>
  <c r="D12" i="3"/>
  <c r="F11" i="3"/>
  <c r="E11" i="3"/>
  <c r="D11" i="3"/>
  <c r="D14" i="3" s="1"/>
  <c r="D15" i="3" s="1"/>
  <c r="C11" i="3"/>
  <c r="C14" i="3" s="1"/>
  <c r="C15" i="3" s="1"/>
  <c r="F9" i="3"/>
  <c r="E9" i="3"/>
  <c r="D9" i="3"/>
  <c r="C9" i="3"/>
  <c r="B9" i="3"/>
  <c r="F8" i="3"/>
  <c r="E8" i="3"/>
  <c r="D8" i="3"/>
  <c r="C8" i="3"/>
  <c r="B8" i="3"/>
  <c r="F7" i="3"/>
  <c r="E7" i="3"/>
  <c r="D7" i="3"/>
  <c r="C7" i="3"/>
  <c r="B7" i="3"/>
  <c r="B6" i="3"/>
  <c r="B23" i="2"/>
  <c r="H15" i="2"/>
  <c r="H14" i="2"/>
  <c r="H13" i="2"/>
  <c r="H12" i="2"/>
  <c r="H16" i="2" s="1"/>
  <c r="G8" i="2"/>
  <c r="B19" i="2" s="1"/>
  <c r="B21" i="2" l="1"/>
  <c r="B24" i="2"/>
  <c r="B20" i="2"/>
  <c r="B25" i="2"/>
  <c r="B22" i="2"/>
  <c r="C16" i="3"/>
  <c r="D16" i="3" s="1"/>
  <c r="E16" i="3" s="1"/>
  <c r="F16" i="3" s="1"/>
  <c r="C30" i="2" l="1"/>
  <c r="D30" i="2" s="1"/>
  <c r="C29" i="2"/>
  <c r="D29" i="2" s="1"/>
  <c r="C31" i="2"/>
  <c r="D31" i="2" s="1"/>
</calcChain>
</file>

<file path=xl/sharedStrings.xml><?xml version="1.0" encoding="utf-8"?>
<sst xmlns="http://schemas.openxmlformats.org/spreadsheetml/2006/main" count="208" uniqueCount="181">
  <si>
    <t>ASSUMPTIONS TAB</t>
  </si>
  <si>
    <t>A. BIODIVERSITY NET GAIN – KEY PARAMETERS</t>
  </si>
  <si>
    <t>Formula – baseline habitats</t>
  </si>
  <si>
    <t>Area × D × C × SS</t>
  </si>
  <si>
    <t>No time/difficulty multiplier for existing habitats</t>
  </si>
  <si>
    <t>Formula – created/enhanced</t>
  </si>
  <si>
    <t>Area × D × C × SS × TtT × Diff</t>
  </si>
  <si>
    <t>Full metric including delivery risk adjustments</t>
  </si>
  <si>
    <t>Biodiversity unit (BU) price – downside</t>
  </si>
  <si>
    <t>£12,000</t>
  </si>
  <si>
    <t>Illustrative; lower bound</t>
  </si>
  <si>
    <t>Biodiversity unit (BU) price – base</t>
  </si>
  <si>
    <t>£20,000</t>
  </si>
  <si>
    <t>Illustrative; central assumption</t>
  </si>
  <si>
    <t>Biodiversity unit (BU) price – upside</t>
  </si>
  <si>
    <t>£28,000</t>
  </si>
  <si>
    <t>Illustrative; upper bound</t>
  </si>
  <si>
    <t>10% uplift threshold</t>
  </si>
  <si>
    <t>Baseline BUs × 1.10</t>
  </si>
  <si>
    <t>Statutory minimum under UK Environment Act 2021</t>
  </si>
  <si>
    <t>Surplus BUs (for sale)</t>
  </si>
  <si>
    <t>Proposed BUs − Threshold BUs</t>
  </si>
  <si>
    <t>Units available for commercial contracting to developers</t>
  </si>
  <si>
    <t>B. COMMERCIAL FORECAST – KEY PARAMETERS</t>
  </si>
  <si>
    <t>Land under restoration</t>
  </si>
  <si>
    <t>50 hectares</t>
  </si>
  <si>
    <t>Given in brief</t>
  </si>
  <si>
    <t>Initial restoration cost</t>
  </si>
  <si>
    <t>£3,000 per hectare</t>
  </si>
  <si>
    <t>Year 1 only; total £150,000</t>
  </si>
  <si>
    <t>Annual land management cost</t>
  </si>
  <si>
    <t>£500 per hectare</t>
  </si>
  <si>
    <t>Ongoing; total £25,000 p.a.</t>
  </si>
  <si>
    <t>Annual monitoring &amp; verification</t>
  </si>
  <si>
    <t>£40,000</t>
  </si>
  <si>
    <t>Ongoing; Year 1 onwards</t>
  </si>
  <si>
    <t>Total annual operating cost (opex)</t>
  </si>
  <si>
    <t>£65,000 p.a.</t>
  </si>
  <si>
    <t>Management + monitoring</t>
  </si>
  <si>
    <t>Corporate nature partnership rev.</t>
  </si>
  <si>
    <t>£50,000 p.a. from Year 2</t>
  </si>
  <si>
    <t>Voluntary CSR/TNFD-linked contracts</t>
  </si>
  <si>
    <t>Eco-tourism / education revenue</t>
  </si>
  <si>
    <t>£25,000 p.a. from Year 3</t>
  </si>
  <si>
    <t>Modest; site dependent</t>
  </si>
  <si>
    <t>Biodiversity unit revenue</t>
  </si>
  <si>
    <t>Surplus BUs × price; from Year 3</t>
  </si>
  <si>
    <t>Base case uses £20,000/unit</t>
  </si>
  <si>
    <t>Downside assumptions</t>
  </si>
  <si>
    <t>BU price £12,000; 20% cost uplift</t>
  </si>
  <si>
    <t>Represents stressed scenario</t>
  </si>
  <si>
    <t>Note: Blue cells = hardcoded inputs.  Black cells = formulas.  All BNG calculations use the simplified formula provided in the task brief.</t>
  </si>
  <si>
    <t>SIMPLIFIED BIODIVERSITY NET GAIN CALCULATION</t>
  </si>
  <si>
    <t>SECTION A: BASELINE BIODIVERSITY UNITS</t>
  </si>
  <si>
    <t>Habitat Type</t>
  </si>
  <si>
    <t>Area / Length</t>
  </si>
  <si>
    <t>Distinctiveness</t>
  </si>
  <si>
    <t>Condition Score</t>
  </si>
  <si>
    <t>Strat. Significance</t>
  </si>
  <si>
    <t>BU Formula</t>
  </si>
  <si>
    <t>BUs (calc)</t>
  </si>
  <si>
    <t>Modified grassland</t>
  </si>
  <si>
    <t>40 ha</t>
  </si>
  <si>
    <t>40 × 2 × 1 × 1.00</t>
  </si>
  <si>
    <t>Arable field margin</t>
  </si>
  <si>
    <t>10 ha</t>
  </si>
  <si>
    <t>10 × 2 × 1 × 1.00</t>
  </si>
  <si>
    <t>Native hedgerow</t>
  </si>
  <si>
    <t>2 km</t>
  </si>
  <si>
    <t>2 × 4 × 2 × 1.00</t>
  </si>
  <si>
    <t>TOTAL BASELINE BIODIVERSITY UNITS</t>
  </si>
  <si>
    <t>SECTION B: PROPOSED POST-RESTORATION BIODIVERSITY UNITS</t>
  </si>
  <si>
    <t>Strat. Sig.</t>
  </si>
  <si>
    <t>TtT Mult.</t>
  </si>
  <si>
    <t>Difficulty Mult.</t>
  </si>
  <si>
    <t>Other neutral grassland</t>
  </si>
  <si>
    <t>35 ha</t>
  </si>
  <si>
    <t>Mixed scrub</t>
  </si>
  <si>
    <t>Woodland planting</t>
  </si>
  <si>
    <t>5 ha</t>
  </si>
  <si>
    <t>Enhanced native hedgerow</t>
  </si>
  <si>
    <t>TOTAL PROPOSED BIODIVERSITY UNITS</t>
  </si>
  <si>
    <t>SECTION C: BNG OUTCOME SUMMARY</t>
  </si>
  <si>
    <t>1. Total baseline BUs</t>
  </si>
  <si>
    <t>2. Total proposed BUs</t>
  </si>
  <si>
    <t>3. Net change in BUs</t>
  </si>
  <si>
    <t>4. % Biodiversity net gain</t>
  </si>
  <si>
    <t>5. 10% uplift threshold (BUs)</t>
  </si>
  <si>
    <t>6. Meets 10% requirement?</t>
  </si>
  <si>
    <t>7. Surplus BUs above 10% level</t>
  </si>
  <si>
    <t>SECTION D: POTENTIAL BNG GROSS REVENUE (surplus units × price)</t>
  </si>
  <si>
    <t>Scenario</t>
  </si>
  <si>
    <t>Price / BU</t>
  </si>
  <si>
    <t>Surplus BUs</t>
  </si>
  <si>
    <t>Gross Revenue</t>
  </si>
  <si>
    <t>Downside</t>
  </si>
  <si>
    <t>Base Case</t>
  </si>
  <si>
    <t>Upside</t>
  </si>
  <si>
    <t>5-YEAR COMMERCIAL FORECAST</t>
  </si>
  <si>
    <t>Year 1</t>
  </si>
  <si>
    <t>Year 2</t>
  </si>
  <si>
    <t>Year 3</t>
  </si>
  <si>
    <t>Year 4</t>
  </si>
  <si>
    <t>Year 5</t>
  </si>
  <si>
    <t>BASE CASE (BU price: £20,000/unit)</t>
  </si>
  <si>
    <t>COSTS</t>
  </si>
  <si>
    <t>Initial restoration cost (Year 1 only)</t>
  </si>
  <si>
    <t>Annual land management cost (£500 × 50 ha)</t>
  </si>
  <si>
    <t>Annual monitoring &amp; verification cost</t>
  </si>
  <si>
    <t>TOTAL COSTS</t>
  </si>
  <si>
    <t>REVENUES</t>
  </si>
  <si>
    <t>Corporate nature partnership revenue</t>
  </si>
  <si>
    <t>Biodiversity unit revenue (base: £20k × 260.94 surplus BUs)</t>
  </si>
  <si>
    <t>TOTAL REVENUES</t>
  </si>
  <si>
    <t>NET SURPLUS / (DEFICIT)</t>
  </si>
  <si>
    <t>CUMULATIVE NET POSITION</t>
  </si>
  <si>
    <t>DOWNSIDE CASE  (BU price: £12,000/unit; opex +20%; BNG revenue delayed to Year 4)</t>
  </si>
  <si>
    <t>COSTS (downside: annual opex ×1.20)</t>
  </si>
  <si>
    <t>Annual opex (×1.20 stress factor applied)</t>
  </si>
  <si>
    <t>REVENUES (downside: BNG to Year 4; corp. Nature rev from Yr3)</t>
  </si>
  <si>
    <t>Corporate nature partnership revenue (from Year 3)</t>
  </si>
  <si>
    <t>Eco-tourism / education revenue (from Year 4)</t>
  </si>
  <si>
    <t>Biodiversity unit revenue (downside: £12k × 260.94 surplus BUs, from Year 4)</t>
  </si>
  <si>
    <t>OUTPUT SUMMARY</t>
  </si>
  <si>
    <t>A. BNG OUTCOMES</t>
  </si>
  <si>
    <t>Baseline biodiversity units</t>
  </si>
  <si>
    <t>116.00 BUs</t>
  </si>
  <si>
    <t>Post-restoration biodiversity units</t>
  </si>
  <si>
    <t>388.54 BUs</t>
  </si>
  <si>
    <t>Net change</t>
  </si>
  <si>
    <t>+272.54 BUs</t>
  </si>
  <si>
    <t>Biodiversity net gain achieved</t>
  </si>
  <si>
    <t>234.95%</t>
  </si>
  <si>
    <t>10% statutory requirement met?</t>
  </si>
  <si>
    <t>YES</t>
  </si>
  <si>
    <t>Surplus BUs available for sale</t>
  </si>
  <si>
    <t>260.94 BUs</t>
  </si>
  <si>
    <t>B. BNG REVENUE SCENARIOS</t>
  </si>
  <si>
    <t>Downside (£12k/unit)</t>
  </si>
  <si>
    <t>£3,131,268</t>
  </si>
  <si>
    <t>Lower developer demand; supply surplus</t>
  </si>
  <si>
    <t>Base case (£20k/unit)</t>
  </si>
  <si>
    <t>£5,218,780</t>
  </si>
  <si>
    <t>Central market assumption</t>
  </si>
  <si>
    <t>Upside (£28k/unit)</t>
  </si>
  <si>
    <t>£7,306,292</t>
  </si>
  <si>
    <t>Strong demand; policy-driven premium</t>
  </si>
  <si>
    <t>C. 5-YEAR COMMERCIAL OUTLOOK</t>
  </si>
  <si>
    <t>Total initial restoration cost</t>
  </si>
  <si>
    <t>£150,000</t>
  </si>
  <si>
    <t>Year 1 capital outlay</t>
  </si>
  <si>
    <t>Annual operating cost (base)</t>
  </si>
  <si>
    <t>Annual operating cost (downside)</t>
  </si>
  <si>
    <t>£78,000 p.a.</t>
  </si>
  <si>
    <t>+20% stress factor</t>
  </si>
  <si>
    <t>Break-even year (base case)</t>
  </si>
  <si>
    <t>BNG revenue unlocks in Year 3</t>
  </si>
  <si>
    <t>Cumulative 5-yr position (base)</t>
  </si>
  <si>
    <t>£15,446,340</t>
  </si>
  <si>
    <t>Strong return if BNG market holds</t>
  </si>
  <si>
    <t>Cumulative 5-yr position (downside)</t>
  </si>
  <si>
    <t>£5,659,732</t>
  </si>
  <si>
    <t>Still net positive; risk absorbed</t>
  </si>
  <si>
    <t>Key sensitivity</t>
  </si>
  <si>
    <t>BNG unit price</t>
  </si>
  <si>
    <t>±£8k/unit = ±£2.1M in gross revenue</t>
  </si>
  <si>
    <t>D. COMMERCIAL JUDGEMENT</t>
  </si>
  <si>
    <t>The model is commercially viable under both scenarios if the statutory BNG market functions as intended. The critical variable is biodiversity unit price, which is determined by planning activity, developer demand, and competitive habitat bank supply. Even in the downside case, the 5-year cumulative position is strongly positive — meaning the model can absorb significant pricing pressure before becoming loss-making. The primary real-world risk is not financial but ecological: whether the biodiversity metric accurately captures genuine habitat improvement, and whether outcomes are maintained over the 30-year obligation period.</t>
  </si>
  <si>
    <t>5-YEAR COMMERCIAL FORECAST — CHARTS</t>
  </si>
  <si>
    <t>Chart 1: Annual Net Surplus / (Deficit)</t>
  </si>
  <si>
    <t>Chart 2: Cumulative Net Position</t>
  </si>
  <si>
    <t>Year</t>
  </si>
  <si>
    <t>Base Annual Net</t>
  </si>
  <si>
    <t>Downside Annual Net</t>
  </si>
  <si>
    <t>Base Cumulative</t>
  </si>
  <si>
    <t>Downside Cumulative</t>
  </si>
  <si>
    <t>Corporate Nature</t>
  </si>
  <si>
    <t>Eco-tourism</t>
  </si>
  <si>
    <t>BNG Units</t>
  </si>
  <si>
    <t>Chart 3: Revenue Breakdown by Source (Base Case)</t>
  </si>
  <si>
    <t>Note: All values in GBP (£). Base case assumes BU price £20,000; downside assumes £12,000 with 20% opex uplift and BNG revenue delayed to Year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</si>
</sst>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9"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b/>
      <sz val="10"/>
      <color rgb="FF000000"/>
      <name val="Arial"/>
      <charset val="1"/>
    </font>
    <font>
      <i/>
      <sz val="10"/>
      <color rgb="FF595959"/>
      <name val="Arial"/>
      <charset val="1"/>
    </font>
    <font>
      <i/>
      <sz val="9"/>
      <color rgb="FF595959"/>
      <name val="Arial"/>
      <charset val="1"/>
    </font>
    <font>
      <b/>
      <sz val="9"/>
      <color rgb="FF000000"/>
      <name val="Arial"/>
      <charset val="1"/>
    </font>
    <font>
      <b/>
      <sz val="11"/>
      <color rgb="FF1F3864"/>
      <name val="Arial"/>
      <charset val="1"/>
    </font>
    <font>
      <b/>
      <sz val="11"/>
      <color rgb="FF375623"/>
      <name val="Arial"/>
      <charset val="1"/>
    </font>
    <font>
      <b/>
      <sz val="10"/>
      <color rgb="FF0000FF"/>
      <name val="Arial"/>
      <charset val="1"/>
    </font>
    <font>
      <sz val="10"/>
      <name val="Arial"/>
      <charset val="1"/>
    </font>
    <font>
      <b/>
      <sz val="10"/>
      <color rgb="FF1F3864"/>
      <name val="Arial"/>
      <charset val="1"/>
    </font>
    <font>
      <b/>
      <sz val="11"/>
      <color rgb="FF000000"/>
      <name val="Arial"/>
      <charset val="1"/>
    </font>
    <font>
      <sz val="10"/>
      <color rgb="FF0000FF"/>
      <name val="Arial"/>
      <charset val="1"/>
    </font>
    <font>
      <b/>
      <sz val="10"/>
      <color rgb="FF375623"/>
      <name val="Arial"/>
      <charset val="1"/>
    </font>
    <font>
      <b/>
      <sz val="14"/>
      <color rgb="FFFFFFFF"/>
      <name val="Arial"/>
      <charset val="1"/>
    </font>
    <font>
      <b/>
      <sz val="10"/>
      <color rgb="FF1A3C34"/>
      <name val="Arial"/>
      <charset val="1"/>
    </font>
    <font>
      <i/>
      <sz val="8"/>
      <color rgb="FF595959"/>
      <name val="Arial"/>
      <charset val="1"/>
    </font>
  </fonts>
  <fills count="13">
    <fill>
      <patternFill patternType="none"/>
    </fill>
    <fill>
      <patternFill patternType="gray125"/>
    </fill>
    <fill>
      <patternFill patternType="solid">
        <fgColor rgb="FF1F3864"/>
        <bgColor rgb="FF1A3C34"/>
      </patternFill>
    </fill>
    <fill>
      <patternFill patternType="solid">
        <fgColor rgb="FF2E75B6"/>
        <bgColor rgb="FF0066CC"/>
      </patternFill>
    </fill>
    <fill>
      <patternFill patternType="solid">
        <fgColor rgb="FFF2F2F2"/>
        <bgColor rgb="FFE2EFDA"/>
      </patternFill>
    </fill>
    <fill>
      <patternFill patternType="solid">
        <fgColor rgb="FFFFFFFF"/>
        <bgColor rgb="FFF2F2F2"/>
      </patternFill>
    </fill>
    <fill>
      <patternFill patternType="solid">
        <fgColor rgb="FFFFEB9C"/>
        <bgColor rgb="FFE2EFDA"/>
      </patternFill>
    </fill>
    <fill>
      <patternFill patternType="solid">
        <fgColor rgb="FFBDD7EE"/>
        <bgColor rgb="FFCCCCCC"/>
      </patternFill>
    </fill>
    <fill>
      <patternFill patternType="solid">
        <fgColor rgb="FFDEEAF1"/>
        <bgColor rgb="FFE2EFDA"/>
      </patternFill>
    </fill>
    <fill>
      <patternFill patternType="solid">
        <fgColor rgb="FFE2EFDA"/>
        <bgColor rgb="FFDEEAF1"/>
      </patternFill>
    </fill>
    <fill>
      <patternFill patternType="solid">
        <fgColor rgb="FF375623"/>
        <bgColor rgb="FF2E6B5E"/>
      </patternFill>
    </fill>
    <fill>
      <patternFill patternType="solid">
        <fgColor rgb="FF7F6000"/>
        <bgColor rgb="FF8B5A10"/>
      </patternFill>
    </fill>
    <fill>
      <patternFill patternType="solid">
        <fgColor rgb="FF1A3C34"/>
        <bgColor rgb="FF1F38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9">
    <xf numFmtId="0" fontId="0" fillId="0" borderId="0" xfId="0"/>
    <xf numFmtId="164" fontId="12" fillId="6" borderId="1" xfId="0" applyNumberFormat="1" applyFont="1" applyFill="1" applyBorder="1" applyAlignment="1">
      <alignment horizontal="center"/>
    </xf>
    <xf numFmtId="0" fontId="3" fillId="4" borderId="1" xfId="0" applyFont="1" applyFill="1" applyBorder="1" applyAlignment="1">
      <alignment horizontal="left" vertical="center"/>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xf>
    <xf numFmtId="0" fontId="7" fillId="7"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4" borderId="1" xfId="0" applyFont="1" applyFill="1" applyBorder="1" applyAlignment="1">
      <alignment horizontal="center" vertical="center"/>
    </xf>
    <xf numFmtId="4" fontId="3" fillId="4" borderId="1" xfId="0" applyNumberFormat="1" applyFont="1" applyFill="1" applyBorder="1" applyAlignment="1">
      <alignment horizontal="center" vertical="center"/>
    </xf>
    <xf numFmtId="4" fontId="8" fillId="7" borderId="1" xfId="0" applyNumberFormat="1" applyFont="1" applyFill="1" applyBorder="1" applyAlignment="1">
      <alignment horizontal="center" vertical="center"/>
    </xf>
    <xf numFmtId="0" fontId="0" fillId="0" borderId="1" xfId="0" applyBorder="1"/>
    <xf numFmtId="0" fontId="7" fillId="9" borderId="1" xfId="0" applyFont="1" applyFill="1" applyBorder="1" applyAlignment="1">
      <alignment horizontal="center" vertical="center" wrapText="1"/>
    </xf>
    <xf numFmtId="4" fontId="3" fillId="5" borderId="1" xfId="0" applyNumberFormat="1" applyFont="1" applyFill="1" applyBorder="1" applyAlignment="1">
      <alignment horizontal="center"/>
    </xf>
    <xf numFmtId="4" fontId="9" fillId="9" borderId="1" xfId="0" applyNumberFormat="1" applyFont="1" applyFill="1" applyBorder="1" applyAlignment="1">
      <alignment horizontal="center"/>
    </xf>
    <xf numFmtId="0" fontId="4" fillId="4" borderId="1" xfId="0" applyFont="1" applyFill="1" applyBorder="1" applyAlignment="1">
      <alignment horizontal="left" vertical="center"/>
    </xf>
    <xf numFmtId="0" fontId="4" fillId="6" borderId="1" xfId="0" applyFont="1" applyFill="1" applyBorder="1" applyAlignment="1">
      <alignment horizontal="center" vertical="center"/>
    </xf>
    <xf numFmtId="164" fontId="10" fillId="6" borderId="1" xfId="0" applyNumberFormat="1" applyFont="1" applyFill="1" applyBorder="1" applyAlignment="1">
      <alignment horizontal="center"/>
    </xf>
    <xf numFmtId="4" fontId="11" fillId="6" borderId="1" xfId="0" applyNumberFormat="1" applyFont="1" applyFill="1" applyBorder="1" applyAlignment="1">
      <alignment horizontal="center"/>
    </xf>
    <xf numFmtId="0" fontId="4" fillId="9" borderId="1" xfId="0" applyFont="1" applyFill="1" applyBorder="1" applyAlignment="1">
      <alignment horizontal="center" vertical="center"/>
    </xf>
    <xf numFmtId="164" fontId="10" fillId="9" borderId="1" xfId="0" applyNumberFormat="1" applyFont="1" applyFill="1" applyBorder="1" applyAlignment="1">
      <alignment horizontal="center"/>
    </xf>
    <xf numFmtId="4" fontId="11" fillId="9" borderId="1" xfId="0" applyNumberFormat="1" applyFont="1" applyFill="1" applyBorder="1" applyAlignment="1">
      <alignment horizontal="center"/>
    </xf>
    <xf numFmtId="164" fontId="10" fillId="5" borderId="1" xfId="0" applyNumberFormat="1" applyFont="1" applyFill="1" applyBorder="1" applyAlignment="1">
      <alignment horizontal="center"/>
    </xf>
    <xf numFmtId="4" fontId="11" fillId="5" borderId="1" xfId="0" applyNumberFormat="1" applyFont="1" applyFill="1" applyBorder="1" applyAlignment="1">
      <alignment horizontal="center"/>
    </xf>
    <xf numFmtId="0" fontId="13"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4" fillId="8" borderId="1" xfId="0" applyFont="1" applyFill="1" applyBorder="1" applyAlignment="1">
      <alignment horizontal="left" vertical="center"/>
    </xf>
    <xf numFmtId="0" fontId="3" fillId="8" borderId="1" xfId="0" applyFont="1" applyFill="1" applyBorder="1" applyAlignment="1">
      <alignment horizontal="left" vertical="center"/>
    </xf>
    <xf numFmtId="164" fontId="14" fillId="4" borderId="1" xfId="0" applyNumberFormat="1" applyFont="1" applyFill="1" applyBorder="1" applyAlignment="1">
      <alignment horizontal="center"/>
    </xf>
    <xf numFmtId="164" fontId="3" fillId="4" borderId="1" xfId="0" applyNumberFormat="1" applyFont="1" applyFill="1" applyBorder="1" applyAlignment="1">
      <alignment horizontal="center"/>
    </xf>
    <xf numFmtId="0" fontId="3" fillId="5" borderId="1" xfId="0" applyFont="1" applyFill="1" applyBorder="1" applyAlignment="1">
      <alignment horizontal="left" vertical="center"/>
    </xf>
    <xf numFmtId="164" fontId="3" fillId="5" borderId="1" xfId="0" applyNumberFormat="1" applyFont="1" applyFill="1" applyBorder="1" applyAlignment="1">
      <alignment horizontal="center"/>
    </xf>
    <xf numFmtId="164" fontId="12" fillId="8" borderId="1" xfId="0" applyNumberFormat="1" applyFont="1" applyFill="1" applyBorder="1" applyAlignment="1">
      <alignment horizontal="center"/>
    </xf>
    <xf numFmtId="0" fontId="4" fillId="9" borderId="1" xfId="0" applyFont="1" applyFill="1" applyBorder="1" applyAlignment="1">
      <alignment horizontal="left" vertical="center"/>
    </xf>
    <xf numFmtId="0" fontId="3" fillId="9" borderId="1" xfId="0" applyFont="1" applyFill="1" applyBorder="1" applyAlignment="1">
      <alignment horizontal="left" vertical="center"/>
    </xf>
    <xf numFmtId="164" fontId="15" fillId="9" borderId="1" xfId="0" applyNumberFormat="1" applyFont="1" applyFill="1" applyBorder="1" applyAlignment="1">
      <alignment horizontal="center"/>
    </xf>
    <xf numFmtId="164" fontId="8" fillId="8" borderId="1" xfId="0" applyNumberFormat="1" applyFont="1" applyFill="1" applyBorder="1" applyAlignment="1">
      <alignment horizontal="center"/>
    </xf>
    <xf numFmtId="0" fontId="4" fillId="7" borderId="1" xfId="0" applyFont="1" applyFill="1" applyBorder="1" applyAlignment="1">
      <alignment horizontal="left" vertical="center"/>
    </xf>
    <xf numFmtId="164" fontId="8" fillId="7" borderId="1" xfId="0" applyNumberFormat="1" applyFont="1" applyFill="1" applyBorder="1" applyAlignment="1">
      <alignment horizontal="center"/>
    </xf>
    <xf numFmtId="0" fontId="4" fillId="6" borderId="1" xfId="0" applyFont="1" applyFill="1" applyBorder="1" applyAlignment="1">
      <alignment horizontal="left" vertical="center"/>
    </xf>
    <xf numFmtId="0" fontId="3" fillId="6" borderId="1" xfId="0" applyFont="1" applyFill="1" applyBorder="1" applyAlignment="1">
      <alignment horizontal="left" vertical="center"/>
    </xf>
    <xf numFmtId="164" fontId="8" fillId="6" borderId="1" xfId="0" applyNumberFormat="1" applyFont="1" applyFill="1" applyBorder="1" applyAlignment="1">
      <alignment horizontal="center"/>
    </xf>
    <xf numFmtId="0" fontId="16" fillId="12" borderId="0" xfId="0" applyFont="1" applyFill="1" applyAlignment="1">
      <alignment horizontal="center" vertical="center"/>
    </xf>
    <xf numFmtId="0" fontId="17" fillId="0" borderId="0" xfId="0" applyFont="1" applyAlignment="1">
      <alignment horizontal="left"/>
    </xf>
    <xf numFmtId="0" fontId="18" fillId="0" borderId="0" xfId="0" applyFont="1" applyAlignment="1">
      <alignment horizontal="left"/>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6" fillId="6" borderId="0" xfId="0" applyFont="1" applyFill="1" applyAlignment="1">
      <alignment horizontal="left" vertical="center" wrapText="1"/>
    </xf>
    <xf numFmtId="164" fontId="12" fillId="9" borderId="1" xfId="0" applyNumberFormat="1" applyFont="1" applyFill="1" applyBorder="1" applyAlignment="1">
      <alignment horizontal="center"/>
    </xf>
    <xf numFmtId="164" fontId="12" fillId="5" borderId="1" xfId="0" applyNumberFormat="1" applyFont="1" applyFill="1" applyBorder="1" applyAlignment="1">
      <alignment horizontal="center"/>
    </xf>
    <xf numFmtId="4" fontId="8" fillId="8" borderId="1" xfId="0" applyNumberFormat="1" applyFont="1" applyFill="1" applyBorder="1" applyAlignment="1">
      <alignment horizontal="center"/>
    </xf>
    <xf numFmtId="49" fontId="8" fillId="8" borderId="1" xfId="0" applyNumberFormat="1" applyFont="1" applyFill="1" applyBorder="1" applyAlignment="1">
      <alignment horizontal="center"/>
    </xf>
    <xf numFmtId="164" fontId="12" fillId="6" borderId="1" xfId="0" applyNumberFormat="1" applyFont="1" applyFill="1" applyBorder="1" applyAlignment="1">
      <alignment horizontal="center"/>
    </xf>
    <xf numFmtId="0" fontId="2" fillId="2" borderId="0" xfId="0" applyFont="1" applyFill="1" applyAlignment="1">
      <alignment horizontal="center" vertical="center" wrapText="1"/>
    </xf>
    <xf numFmtId="10" fontId="8" fillId="8" borderId="1" xfId="0" applyNumberFormat="1" applyFont="1" applyFill="1" applyBorder="1" applyAlignment="1">
      <alignment horizontal="center"/>
    </xf>
    <xf numFmtId="0" fontId="4" fillId="8" borderId="1" xfId="0" applyFont="1" applyFill="1" applyBorder="1" applyAlignment="1">
      <alignment horizontal="right" vertical="center" wrapText="1"/>
    </xf>
    <xf numFmtId="0" fontId="4" fillId="9" borderId="1" xfId="0" applyFont="1" applyFill="1" applyBorder="1" applyAlignment="1">
      <alignment horizontal="right" vertical="center" wrapText="1"/>
    </xf>
    <xf numFmtId="0" fontId="2" fillId="10" borderId="0" xfId="0" applyFont="1" applyFill="1" applyAlignment="1">
      <alignment horizontal="center" vertical="center" wrapText="1"/>
    </xf>
    <xf numFmtId="0" fontId="2" fillId="11" borderId="0" xfId="0" applyFont="1" applyFill="1" applyAlignment="1">
      <alignment horizontal="center" vertical="center" wrapText="1"/>
    </xf>
    <xf numFmtId="0" fontId="3" fillId="8"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2E6B5E"/>
      <rgbColor rgb="FFCCCCCC"/>
      <rgbColor rgb="FF808080"/>
      <rgbColor rgb="FF9999FF"/>
      <rgbColor rgb="FF993366"/>
      <rgbColor rgb="FFF2F2F2"/>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EB9C"/>
      <rgbColor rgb="FFA8C5A0"/>
      <rgbColor rgb="FFFF99CC"/>
      <rgbColor rgb="FFCC99FF"/>
      <rgbColor rgb="FFD9D9D9"/>
      <rgbColor rgb="FF2E75B6"/>
      <rgbColor rgb="FF33CCCC"/>
      <rgbColor rgb="FF99CC00"/>
      <rgbColor rgb="FFFFCC00"/>
      <rgbColor rgb="FFC8862A"/>
      <rgbColor rgb="FFFF6600"/>
      <rgbColor rgb="FF595959"/>
      <rgbColor rgb="FFB3B3B3"/>
      <rgbColor rgb="FF1F3864"/>
      <rgbColor rgb="FF339966"/>
      <rgbColor rgb="FF003300"/>
      <rgbColor rgb="FF375623"/>
      <rgbColor rgb="FF8B5A10"/>
      <rgbColor rgb="FF993366"/>
      <rgbColor rgb="FF333399"/>
      <rgbColor rgb="FF1A3C3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Annual Net Surplus / (Deficit)  —  £</a:t>
            </a:r>
          </a:p>
        </c:rich>
      </c:tx>
      <c:overlay val="0"/>
      <c:spPr>
        <a:noFill/>
        <a:ln w="0">
          <a:noFill/>
        </a:ln>
      </c:spPr>
    </c:title>
    <c:autoTitleDeleted val="0"/>
    <c:plotArea>
      <c:layout/>
      <c:barChart>
        <c:barDir val="col"/>
        <c:grouping val="clustered"/>
        <c:varyColors val="0"/>
        <c:ser>
          <c:idx val="0"/>
          <c:order val="0"/>
          <c:tx>
            <c:v>Base Case</c:v>
          </c:tx>
          <c:spPr>
            <a:solidFill>
              <a:srgbClr val="2E6B5E"/>
            </a:solidFill>
            <a:ln w="9360">
              <a:solidFill>
                <a:srgbClr val="1A3C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Charts!$V$3:$V$7</c:f>
              <c:strCache>
                <c:ptCount val="5"/>
                <c:pt idx="0">
                  <c:v>Year 1</c:v>
                </c:pt>
                <c:pt idx="1">
                  <c:v>Year 2</c:v>
                </c:pt>
                <c:pt idx="2">
                  <c:v>Year 3</c:v>
                </c:pt>
                <c:pt idx="3">
                  <c:v>Year 4</c:v>
                </c:pt>
                <c:pt idx="4">
                  <c:v>Year 5</c:v>
                </c:pt>
              </c:strCache>
            </c:strRef>
          </c:cat>
          <c:val>
            <c:numRef>
              <c:f>Charts!$W$3:$W$7</c:f>
              <c:numCache>
                <c:formatCode>General</c:formatCode>
                <c:ptCount val="5"/>
                <c:pt idx="0">
                  <c:v>-215000</c:v>
                </c:pt>
                <c:pt idx="1">
                  <c:v>-15000</c:v>
                </c:pt>
                <c:pt idx="2">
                  <c:v>5228780</c:v>
                </c:pt>
                <c:pt idx="3">
                  <c:v>5228780</c:v>
                </c:pt>
                <c:pt idx="4">
                  <c:v>5228780</c:v>
                </c:pt>
              </c:numCache>
            </c:numRef>
          </c:val>
          <c:extLst>
            <c:ext xmlns:c16="http://schemas.microsoft.com/office/drawing/2014/chart" uri="{C3380CC4-5D6E-409C-BE32-E72D297353CC}">
              <c16:uniqueId val="{00000000-535E-4EB2-9B20-85E66AE85687}"/>
            </c:ext>
          </c:extLst>
        </c:ser>
        <c:ser>
          <c:idx val="1"/>
          <c:order val="1"/>
          <c:tx>
            <c:v>Downside</c:v>
          </c:tx>
          <c:spPr>
            <a:solidFill>
              <a:srgbClr val="C8862A"/>
            </a:solidFill>
            <a:ln w="9360">
              <a:solidFill>
                <a:srgbClr val="8B5A10"/>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Charts!$V$3:$V$7</c:f>
              <c:strCache>
                <c:ptCount val="5"/>
                <c:pt idx="0">
                  <c:v>Year 1</c:v>
                </c:pt>
                <c:pt idx="1">
                  <c:v>Year 2</c:v>
                </c:pt>
                <c:pt idx="2">
                  <c:v>Year 3</c:v>
                </c:pt>
                <c:pt idx="3">
                  <c:v>Year 4</c:v>
                </c:pt>
                <c:pt idx="4">
                  <c:v>Year 5</c:v>
                </c:pt>
              </c:strCache>
            </c:strRef>
          </c:cat>
          <c:val>
            <c:numRef>
              <c:f>Charts!$X$3:$X$7</c:f>
              <c:numCache>
                <c:formatCode>General</c:formatCode>
                <c:ptCount val="5"/>
                <c:pt idx="0">
                  <c:v>-228000</c:v>
                </c:pt>
                <c:pt idx="1">
                  <c:v>-78000</c:v>
                </c:pt>
                <c:pt idx="2">
                  <c:v>-28000</c:v>
                </c:pt>
                <c:pt idx="3">
                  <c:v>3128268</c:v>
                </c:pt>
                <c:pt idx="4">
                  <c:v>3128268</c:v>
                </c:pt>
              </c:numCache>
            </c:numRef>
          </c:val>
          <c:extLst>
            <c:ext xmlns:c16="http://schemas.microsoft.com/office/drawing/2014/chart" uri="{C3380CC4-5D6E-409C-BE32-E72D297353CC}">
              <c16:uniqueId val="{00000001-535E-4EB2-9B20-85E66AE85687}"/>
            </c:ext>
          </c:extLst>
        </c:ser>
        <c:dLbls>
          <c:showLegendKey val="0"/>
          <c:showVal val="0"/>
          <c:showCatName val="0"/>
          <c:showSerName val="0"/>
          <c:showPercent val="0"/>
          <c:showBubbleSize val="0"/>
        </c:dLbls>
        <c:gapWidth val="150"/>
        <c:axId val="59545100"/>
        <c:axId val="29381849"/>
      </c:barChart>
      <c:catAx>
        <c:axId val="5954510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9381849"/>
        <c:crosses val="autoZero"/>
        <c:auto val="1"/>
        <c:lblAlgn val="ctr"/>
        <c:lblOffset val="100"/>
        <c:noMultiLvlLbl val="0"/>
      </c:catAx>
      <c:valAx>
        <c:axId val="29381849"/>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954510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Cumulative Net Position  —  £</a:t>
            </a:r>
          </a:p>
        </c:rich>
      </c:tx>
      <c:overlay val="0"/>
      <c:spPr>
        <a:noFill/>
        <a:ln w="0">
          <a:noFill/>
        </a:ln>
      </c:spPr>
    </c:title>
    <c:autoTitleDeleted val="0"/>
    <c:plotArea>
      <c:layout/>
      <c:lineChart>
        <c:grouping val="standard"/>
        <c:varyColors val="0"/>
        <c:ser>
          <c:idx val="0"/>
          <c:order val="0"/>
          <c:tx>
            <c:v>Base Case</c:v>
          </c:tx>
          <c:spPr>
            <a:ln w="24840">
              <a:solidFill>
                <a:srgbClr val="2E6B5E"/>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Charts!$V$3:$V$7</c:f>
              <c:strCache>
                <c:ptCount val="5"/>
                <c:pt idx="0">
                  <c:v>Year 1</c:v>
                </c:pt>
                <c:pt idx="1">
                  <c:v>Year 2</c:v>
                </c:pt>
                <c:pt idx="2">
                  <c:v>Year 3</c:v>
                </c:pt>
                <c:pt idx="3">
                  <c:v>Year 4</c:v>
                </c:pt>
                <c:pt idx="4">
                  <c:v>Year 5</c:v>
                </c:pt>
              </c:strCache>
            </c:strRef>
          </c:cat>
          <c:val>
            <c:numRef>
              <c:f>Charts!$Y$3:$Y$7</c:f>
              <c:numCache>
                <c:formatCode>General</c:formatCode>
                <c:ptCount val="5"/>
                <c:pt idx="0">
                  <c:v>-215000</c:v>
                </c:pt>
                <c:pt idx="1">
                  <c:v>-230000</c:v>
                </c:pt>
                <c:pt idx="2">
                  <c:v>4998780</c:v>
                </c:pt>
                <c:pt idx="3">
                  <c:v>10227560</c:v>
                </c:pt>
                <c:pt idx="4">
                  <c:v>15456340</c:v>
                </c:pt>
              </c:numCache>
            </c:numRef>
          </c:val>
          <c:smooth val="1"/>
          <c:extLst>
            <c:ext xmlns:c16="http://schemas.microsoft.com/office/drawing/2014/chart" uri="{C3380CC4-5D6E-409C-BE32-E72D297353CC}">
              <c16:uniqueId val="{00000000-361C-4AEC-9F86-09939A7274F2}"/>
            </c:ext>
          </c:extLst>
        </c:ser>
        <c:ser>
          <c:idx val="1"/>
          <c:order val="1"/>
          <c:tx>
            <c:v>Downside</c:v>
          </c:tx>
          <c:spPr>
            <a:ln w="24840">
              <a:solidFill>
                <a:srgbClr val="C8862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Charts!$V$3:$V$7</c:f>
              <c:strCache>
                <c:ptCount val="5"/>
                <c:pt idx="0">
                  <c:v>Year 1</c:v>
                </c:pt>
                <c:pt idx="1">
                  <c:v>Year 2</c:v>
                </c:pt>
                <c:pt idx="2">
                  <c:v>Year 3</c:v>
                </c:pt>
                <c:pt idx="3">
                  <c:v>Year 4</c:v>
                </c:pt>
                <c:pt idx="4">
                  <c:v>Year 5</c:v>
                </c:pt>
              </c:strCache>
            </c:strRef>
          </c:cat>
          <c:val>
            <c:numRef>
              <c:f>Charts!$Z$3:$Z$7</c:f>
              <c:numCache>
                <c:formatCode>General</c:formatCode>
                <c:ptCount val="5"/>
                <c:pt idx="0">
                  <c:v>-228000</c:v>
                </c:pt>
                <c:pt idx="1">
                  <c:v>-306000</c:v>
                </c:pt>
                <c:pt idx="2">
                  <c:v>-334000</c:v>
                </c:pt>
                <c:pt idx="3">
                  <c:v>2794268</c:v>
                </c:pt>
                <c:pt idx="4">
                  <c:v>5922536</c:v>
                </c:pt>
              </c:numCache>
            </c:numRef>
          </c:val>
          <c:smooth val="1"/>
          <c:extLst>
            <c:ext xmlns:c16="http://schemas.microsoft.com/office/drawing/2014/chart" uri="{C3380CC4-5D6E-409C-BE32-E72D297353CC}">
              <c16:uniqueId val="{00000001-361C-4AEC-9F86-09939A7274F2}"/>
            </c:ext>
          </c:extLst>
        </c:ser>
        <c:dLbls>
          <c:showLegendKey val="0"/>
          <c:showVal val="0"/>
          <c:showCatName val="0"/>
          <c:showSerName val="0"/>
          <c:showPercent val="0"/>
          <c:showBubbleSize val="0"/>
        </c:dLbls>
        <c:hiLowLines>
          <c:spPr>
            <a:ln w="0">
              <a:noFill/>
            </a:ln>
          </c:spPr>
        </c:hiLowLines>
        <c:smooth val="0"/>
        <c:axId val="98711844"/>
        <c:axId val="4908478"/>
      </c:lineChart>
      <c:catAx>
        <c:axId val="98711844"/>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908478"/>
        <c:crosses val="autoZero"/>
        <c:auto val="1"/>
        <c:lblAlgn val="ctr"/>
        <c:lblOffset val="100"/>
        <c:noMultiLvlLbl val="0"/>
      </c:catAx>
      <c:valAx>
        <c:axId val="490847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871184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Revenue Breakdown by Source  —  Base Case  (£)</a:t>
            </a:r>
          </a:p>
        </c:rich>
      </c:tx>
      <c:overlay val="0"/>
      <c:spPr>
        <a:noFill/>
        <a:ln w="0">
          <a:noFill/>
        </a:ln>
      </c:spPr>
    </c:title>
    <c:autoTitleDeleted val="0"/>
    <c:plotArea>
      <c:layout/>
      <c:barChart>
        <c:barDir val="col"/>
        <c:grouping val="stacked"/>
        <c:varyColors val="0"/>
        <c:ser>
          <c:idx val="0"/>
          <c:order val="0"/>
          <c:tx>
            <c:v>Corporate Nature</c:v>
          </c:tx>
          <c:spPr>
            <a:solidFill>
              <a:srgbClr val="A8C5A0"/>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Charts!$AA$3:$AA$7</c:f>
              <c:strCache>
                <c:ptCount val="5"/>
                <c:pt idx="0">
                  <c:v>Year 1</c:v>
                </c:pt>
                <c:pt idx="1">
                  <c:v>Year 2</c:v>
                </c:pt>
                <c:pt idx="2">
                  <c:v>Year 3</c:v>
                </c:pt>
                <c:pt idx="3">
                  <c:v>Year 4</c:v>
                </c:pt>
                <c:pt idx="4">
                  <c:v>Year 5</c:v>
                </c:pt>
              </c:strCache>
            </c:strRef>
          </c:cat>
          <c:val>
            <c:numRef>
              <c:f>Charts!$AB$3:$AB$7</c:f>
              <c:numCache>
                <c:formatCode>General</c:formatCode>
                <c:ptCount val="5"/>
                <c:pt idx="0">
                  <c:v>0</c:v>
                </c:pt>
                <c:pt idx="1">
                  <c:v>50000</c:v>
                </c:pt>
                <c:pt idx="2">
                  <c:v>50000</c:v>
                </c:pt>
                <c:pt idx="3">
                  <c:v>50000</c:v>
                </c:pt>
                <c:pt idx="4">
                  <c:v>50000</c:v>
                </c:pt>
              </c:numCache>
            </c:numRef>
          </c:val>
          <c:extLst>
            <c:ext xmlns:c16="http://schemas.microsoft.com/office/drawing/2014/chart" uri="{C3380CC4-5D6E-409C-BE32-E72D297353CC}">
              <c16:uniqueId val="{00000000-28F7-4698-A0C8-A19A859040C4}"/>
            </c:ext>
          </c:extLst>
        </c:ser>
        <c:ser>
          <c:idx val="1"/>
          <c:order val="1"/>
          <c:tx>
            <c:v>Eco-tourism</c:v>
          </c:tx>
          <c:spPr>
            <a:solidFill>
              <a:srgbClr val="C8862A"/>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Charts!$AA$3:$AA$7</c:f>
              <c:strCache>
                <c:ptCount val="5"/>
                <c:pt idx="0">
                  <c:v>Year 1</c:v>
                </c:pt>
                <c:pt idx="1">
                  <c:v>Year 2</c:v>
                </c:pt>
                <c:pt idx="2">
                  <c:v>Year 3</c:v>
                </c:pt>
                <c:pt idx="3">
                  <c:v>Year 4</c:v>
                </c:pt>
                <c:pt idx="4">
                  <c:v>Year 5</c:v>
                </c:pt>
              </c:strCache>
            </c:strRef>
          </c:cat>
          <c:val>
            <c:numRef>
              <c:f>Charts!$AC$3:$AC$7</c:f>
              <c:numCache>
                <c:formatCode>General</c:formatCode>
                <c:ptCount val="5"/>
                <c:pt idx="0">
                  <c:v>0</c:v>
                </c:pt>
                <c:pt idx="1">
                  <c:v>0</c:v>
                </c:pt>
                <c:pt idx="2">
                  <c:v>25000</c:v>
                </c:pt>
                <c:pt idx="3">
                  <c:v>25000</c:v>
                </c:pt>
                <c:pt idx="4">
                  <c:v>25000</c:v>
                </c:pt>
              </c:numCache>
            </c:numRef>
          </c:val>
          <c:extLst>
            <c:ext xmlns:c16="http://schemas.microsoft.com/office/drawing/2014/chart" uri="{C3380CC4-5D6E-409C-BE32-E72D297353CC}">
              <c16:uniqueId val="{00000001-28F7-4698-A0C8-A19A859040C4}"/>
            </c:ext>
          </c:extLst>
        </c:ser>
        <c:ser>
          <c:idx val="2"/>
          <c:order val="2"/>
          <c:tx>
            <c:v>BNG Units</c:v>
          </c:tx>
          <c:spPr>
            <a:solidFill>
              <a:srgbClr val="1A3C34"/>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Charts!$AA$3:$AA$7</c:f>
              <c:strCache>
                <c:ptCount val="5"/>
                <c:pt idx="0">
                  <c:v>Year 1</c:v>
                </c:pt>
                <c:pt idx="1">
                  <c:v>Year 2</c:v>
                </c:pt>
                <c:pt idx="2">
                  <c:v>Year 3</c:v>
                </c:pt>
                <c:pt idx="3">
                  <c:v>Year 4</c:v>
                </c:pt>
                <c:pt idx="4">
                  <c:v>Year 5</c:v>
                </c:pt>
              </c:strCache>
            </c:strRef>
          </c:cat>
          <c:val>
            <c:numRef>
              <c:f>Charts!$AD$3:$AD$7</c:f>
              <c:numCache>
                <c:formatCode>General</c:formatCode>
                <c:ptCount val="5"/>
                <c:pt idx="0">
                  <c:v>0</c:v>
                </c:pt>
                <c:pt idx="1">
                  <c:v>0</c:v>
                </c:pt>
                <c:pt idx="2">
                  <c:v>5218780</c:v>
                </c:pt>
                <c:pt idx="3">
                  <c:v>5218780</c:v>
                </c:pt>
                <c:pt idx="4">
                  <c:v>5218780</c:v>
                </c:pt>
              </c:numCache>
            </c:numRef>
          </c:val>
          <c:extLst>
            <c:ext xmlns:c16="http://schemas.microsoft.com/office/drawing/2014/chart" uri="{C3380CC4-5D6E-409C-BE32-E72D297353CC}">
              <c16:uniqueId val="{00000002-28F7-4698-A0C8-A19A859040C4}"/>
            </c:ext>
          </c:extLst>
        </c:ser>
        <c:dLbls>
          <c:showLegendKey val="0"/>
          <c:showVal val="0"/>
          <c:showCatName val="0"/>
          <c:showSerName val="0"/>
          <c:showPercent val="0"/>
          <c:showBubbleSize val="0"/>
        </c:dLbls>
        <c:gapWidth val="150"/>
        <c:overlap val="100"/>
        <c:axId val="55046224"/>
        <c:axId val="37855134"/>
      </c:barChart>
      <c:catAx>
        <c:axId val="55046224"/>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7855134"/>
        <c:crosses val="autoZero"/>
        <c:auto val="1"/>
        <c:lblAlgn val="ctr"/>
        <c:lblOffset val="100"/>
        <c:noMultiLvlLbl val="0"/>
      </c:catAx>
      <c:valAx>
        <c:axId val="3785513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504622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12</xdr:col>
      <xdr:colOff>332280</xdr:colOff>
      <xdr:row>20</xdr:row>
      <xdr:rowOff>170640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xdr:row>
      <xdr:rowOff>0</xdr:rowOff>
    </xdr:from>
    <xdr:to>
      <xdr:col>22</xdr:col>
      <xdr:colOff>96120</xdr:colOff>
      <xdr:row>20</xdr:row>
      <xdr:rowOff>170640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22</xdr:row>
      <xdr:rowOff>0</xdr:rowOff>
    </xdr:from>
    <xdr:to>
      <xdr:col>12</xdr:col>
      <xdr:colOff>332280</xdr:colOff>
      <xdr:row>40</xdr:row>
      <xdr:rowOff>170640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opLeftCell="A10" zoomScaleNormal="100" workbookViewId="0">
      <selection activeCell="C20" sqref="C20"/>
    </sheetView>
  </sheetViews>
  <sheetFormatPr defaultColWidth="8.6328125" defaultRowHeight="14.5" x14ac:dyDescent="0.35"/>
  <cols>
    <col min="1" max="1" width="36" customWidth="1"/>
    <col min="2" max="2" width="18" customWidth="1"/>
    <col min="3" max="3" width="34" customWidth="1"/>
  </cols>
  <sheetData>
    <row r="1" spans="1:3" ht="27.75" customHeight="1" x14ac:dyDescent="0.35">
      <c r="A1" s="44" t="s">
        <v>0</v>
      </c>
      <c r="B1" s="44"/>
      <c r="C1" s="44"/>
    </row>
    <row r="3" spans="1:3" ht="19.5" customHeight="1" x14ac:dyDescent="0.35">
      <c r="A3" s="45" t="s">
        <v>1</v>
      </c>
      <c r="B3" s="45"/>
      <c r="C3" s="45"/>
    </row>
    <row r="4" spans="1:3" ht="15" customHeight="1" x14ac:dyDescent="0.35">
      <c r="A4" s="2" t="s">
        <v>2</v>
      </c>
      <c r="B4" s="3" t="s">
        <v>3</v>
      </c>
      <c r="C4" s="4" t="s">
        <v>4</v>
      </c>
    </row>
    <row r="5" spans="1:3" ht="15" customHeight="1" x14ac:dyDescent="0.35">
      <c r="A5" s="2" t="s">
        <v>5</v>
      </c>
      <c r="B5" s="3" t="s">
        <v>6</v>
      </c>
      <c r="C5" s="4" t="s">
        <v>7</v>
      </c>
    </row>
    <row r="6" spans="1:3" ht="15" customHeight="1" x14ac:dyDescent="0.35">
      <c r="A6" s="2" t="s">
        <v>8</v>
      </c>
      <c r="B6" s="3" t="s">
        <v>9</v>
      </c>
      <c r="C6" s="4" t="s">
        <v>10</v>
      </c>
    </row>
    <row r="7" spans="1:3" ht="15" customHeight="1" x14ac:dyDescent="0.35">
      <c r="A7" s="2" t="s">
        <v>11</v>
      </c>
      <c r="B7" s="3" t="s">
        <v>12</v>
      </c>
      <c r="C7" s="4" t="s">
        <v>13</v>
      </c>
    </row>
    <row r="8" spans="1:3" ht="15" customHeight="1" x14ac:dyDescent="0.35">
      <c r="A8" s="2" t="s">
        <v>14</v>
      </c>
      <c r="B8" s="3" t="s">
        <v>15</v>
      </c>
      <c r="C8" s="4" t="s">
        <v>16</v>
      </c>
    </row>
    <row r="9" spans="1:3" ht="15" customHeight="1" x14ac:dyDescent="0.35">
      <c r="A9" s="2" t="s">
        <v>17</v>
      </c>
      <c r="B9" s="3" t="s">
        <v>18</v>
      </c>
      <c r="C9" s="4" t="s">
        <v>19</v>
      </c>
    </row>
    <row r="10" spans="1:3" ht="15" customHeight="1" x14ac:dyDescent="0.35">
      <c r="A10" s="2" t="s">
        <v>20</v>
      </c>
      <c r="B10" s="3" t="s">
        <v>21</v>
      </c>
      <c r="C10" s="4" t="s">
        <v>22</v>
      </c>
    </row>
    <row r="12" spans="1:3" ht="19.5" customHeight="1" x14ac:dyDescent="0.35">
      <c r="A12" s="45" t="s">
        <v>23</v>
      </c>
      <c r="B12" s="45"/>
      <c r="C12" s="45"/>
    </row>
    <row r="13" spans="1:3" ht="15" customHeight="1" x14ac:dyDescent="0.35">
      <c r="A13" s="2" t="s">
        <v>24</v>
      </c>
      <c r="B13" s="3" t="s">
        <v>25</v>
      </c>
      <c r="C13" s="4" t="s">
        <v>26</v>
      </c>
    </row>
    <row r="14" spans="1:3" ht="15" customHeight="1" x14ac:dyDescent="0.35">
      <c r="A14" s="2" t="s">
        <v>27</v>
      </c>
      <c r="B14" s="3" t="s">
        <v>28</v>
      </c>
      <c r="C14" s="4" t="s">
        <v>29</v>
      </c>
    </row>
    <row r="15" spans="1:3" ht="15" customHeight="1" x14ac:dyDescent="0.35">
      <c r="A15" s="2" t="s">
        <v>30</v>
      </c>
      <c r="B15" s="3" t="s">
        <v>31</v>
      </c>
      <c r="C15" s="4" t="s">
        <v>32</v>
      </c>
    </row>
    <row r="16" spans="1:3" ht="15" customHeight="1" x14ac:dyDescent="0.35">
      <c r="A16" s="2" t="s">
        <v>33</v>
      </c>
      <c r="B16" s="3" t="s">
        <v>34</v>
      </c>
      <c r="C16" s="4" t="s">
        <v>35</v>
      </c>
    </row>
    <row r="17" spans="1:3" ht="15" customHeight="1" x14ac:dyDescent="0.35">
      <c r="A17" s="2" t="s">
        <v>36</v>
      </c>
      <c r="B17" s="3" t="s">
        <v>37</v>
      </c>
      <c r="C17" s="4" t="s">
        <v>38</v>
      </c>
    </row>
    <row r="18" spans="1:3" ht="15" customHeight="1" x14ac:dyDescent="0.35">
      <c r="A18" s="2" t="s">
        <v>39</v>
      </c>
      <c r="B18" s="3" t="s">
        <v>40</v>
      </c>
      <c r="C18" s="4" t="s">
        <v>41</v>
      </c>
    </row>
    <row r="19" spans="1:3" ht="15" customHeight="1" x14ac:dyDescent="0.35">
      <c r="A19" s="2" t="s">
        <v>42</v>
      </c>
      <c r="B19" s="3" t="s">
        <v>43</v>
      </c>
      <c r="C19" s="4" t="s">
        <v>44</v>
      </c>
    </row>
    <row r="20" spans="1:3" ht="15" customHeight="1" x14ac:dyDescent="0.35">
      <c r="A20" s="2" t="s">
        <v>45</v>
      </c>
      <c r="B20" s="3" t="s">
        <v>46</v>
      </c>
      <c r="C20" s="4" t="s">
        <v>47</v>
      </c>
    </row>
    <row r="21" spans="1:3" ht="15" customHeight="1" x14ac:dyDescent="0.35">
      <c r="A21" s="2" t="s">
        <v>48</v>
      </c>
      <c r="B21" s="3" t="s">
        <v>49</v>
      </c>
      <c r="C21" s="4" t="s">
        <v>50</v>
      </c>
    </row>
    <row r="23" spans="1:3" ht="27.75" customHeight="1" x14ac:dyDescent="0.35">
      <c r="A23" s="46" t="s">
        <v>51</v>
      </c>
      <c r="B23" s="46"/>
      <c r="C23" s="46"/>
    </row>
  </sheetData>
  <mergeCells count="4">
    <mergeCell ref="A1:C1"/>
    <mergeCell ref="A3:C3"/>
    <mergeCell ref="A12:C12"/>
    <mergeCell ref="A23:C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topLeftCell="A20" zoomScale="108" zoomScaleNormal="100" workbookViewId="0">
      <selection activeCell="E35" sqref="E35"/>
    </sheetView>
  </sheetViews>
  <sheetFormatPr defaultColWidth="8.6328125" defaultRowHeight="14.5" x14ac:dyDescent="0.35"/>
  <cols>
    <col min="1" max="1" width="22" customWidth="1"/>
    <col min="2" max="2" width="10" customWidth="1"/>
    <col min="3" max="3" width="14" customWidth="1"/>
    <col min="4" max="4" width="18" customWidth="1"/>
    <col min="5" max="5" width="14" customWidth="1"/>
    <col min="6" max="6" width="18" customWidth="1"/>
    <col min="7" max="8" width="16" customWidth="1"/>
  </cols>
  <sheetData>
    <row r="1" spans="1:8" ht="27.75" customHeight="1" x14ac:dyDescent="0.35">
      <c r="A1" s="44" t="s">
        <v>52</v>
      </c>
      <c r="B1" s="44"/>
      <c r="C1" s="44"/>
      <c r="D1" s="44"/>
      <c r="E1" s="44"/>
      <c r="F1" s="44"/>
      <c r="G1" s="44"/>
      <c r="H1" s="44"/>
    </row>
    <row r="3" spans="1:8" ht="19.5" customHeight="1" x14ac:dyDescent="0.35">
      <c r="A3" s="45" t="s">
        <v>53</v>
      </c>
      <c r="B3" s="45"/>
      <c r="C3" s="45"/>
      <c r="D3" s="45"/>
      <c r="E3" s="45"/>
      <c r="F3" s="45"/>
      <c r="G3" s="45"/>
      <c r="H3" s="45"/>
    </row>
    <row r="4" spans="1:8" ht="21.75" customHeight="1" x14ac:dyDescent="0.35">
      <c r="A4" s="5" t="s">
        <v>54</v>
      </c>
      <c r="B4" s="5" t="s">
        <v>55</v>
      </c>
      <c r="C4" s="5" t="s">
        <v>56</v>
      </c>
      <c r="D4" s="5" t="s">
        <v>57</v>
      </c>
      <c r="E4" s="5" t="s">
        <v>58</v>
      </c>
      <c r="F4" s="5" t="s">
        <v>59</v>
      </c>
      <c r="G4" s="5" t="s">
        <v>60</v>
      </c>
      <c r="H4" s="5"/>
    </row>
    <row r="5" spans="1:8" ht="15" customHeight="1" x14ac:dyDescent="0.35">
      <c r="A5" s="2" t="s">
        <v>61</v>
      </c>
      <c r="B5" s="6" t="s">
        <v>62</v>
      </c>
      <c r="C5" s="7">
        <v>2</v>
      </c>
      <c r="D5" s="6">
        <v>1</v>
      </c>
      <c r="E5" s="8">
        <v>1</v>
      </c>
      <c r="F5" s="6" t="s">
        <v>63</v>
      </c>
      <c r="G5" s="8">
        <v>80</v>
      </c>
    </row>
    <row r="6" spans="1:8" ht="15" customHeight="1" x14ac:dyDescent="0.35">
      <c r="A6" s="2" t="s">
        <v>64</v>
      </c>
      <c r="B6" s="6" t="s">
        <v>65</v>
      </c>
      <c r="C6" s="7">
        <v>2</v>
      </c>
      <c r="D6" s="6">
        <v>1</v>
      </c>
      <c r="E6" s="8">
        <v>1</v>
      </c>
      <c r="F6" s="6" t="s">
        <v>66</v>
      </c>
      <c r="G6" s="8">
        <v>20</v>
      </c>
    </row>
    <row r="7" spans="1:8" ht="15" customHeight="1" x14ac:dyDescent="0.35">
      <c r="A7" s="2" t="s">
        <v>67</v>
      </c>
      <c r="B7" s="6" t="s">
        <v>68</v>
      </c>
      <c r="C7" s="7">
        <v>4</v>
      </c>
      <c r="D7" s="6">
        <v>2</v>
      </c>
      <c r="E7" s="8">
        <v>1</v>
      </c>
      <c r="F7" s="6" t="s">
        <v>69</v>
      </c>
      <c r="G7" s="8">
        <v>16</v>
      </c>
    </row>
    <row r="8" spans="1:8" ht="15" customHeight="1" x14ac:dyDescent="0.35">
      <c r="A8" s="54" t="s">
        <v>70</v>
      </c>
      <c r="B8" s="54"/>
      <c r="C8" s="54"/>
      <c r="D8" s="54"/>
      <c r="E8" s="54"/>
      <c r="F8" s="54"/>
      <c r="G8" s="9">
        <f>G5+G6+G7</f>
        <v>116</v>
      </c>
      <c r="H8" s="10"/>
    </row>
    <row r="10" spans="1:8" ht="19.5" customHeight="1" x14ac:dyDescent="0.35">
      <c r="A10" s="45" t="s">
        <v>71</v>
      </c>
      <c r="B10" s="45"/>
      <c r="C10" s="45"/>
      <c r="D10" s="45"/>
      <c r="E10" s="45"/>
      <c r="F10" s="45"/>
      <c r="G10" s="45"/>
      <c r="H10" s="45"/>
    </row>
    <row r="11" spans="1:8" ht="21.75" customHeight="1" x14ac:dyDescent="0.35">
      <c r="A11" s="11" t="s">
        <v>54</v>
      </c>
      <c r="B11" s="11" t="s">
        <v>55</v>
      </c>
      <c r="C11" s="11" t="s">
        <v>56</v>
      </c>
      <c r="D11" s="11" t="s">
        <v>57</v>
      </c>
      <c r="E11" s="11" t="s">
        <v>72</v>
      </c>
      <c r="F11" s="11" t="s">
        <v>73</v>
      </c>
      <c r="G11" s="11" t="s">
        <v>74</v>
      </c>
      <c r="H11" s="11" t="s">
        <v>60</v>
      </c>
    </row>
    <row r="12" spans="1:8" ht="15" customHeight="1" x14ac:dyDescent="0.35">
      <c r="A12" s="2" t="s">
        <v>75</v>
      </c>
      <c r="B12" s="6" t="s">
        <v>76</v>
      </c>
      <c r="C12" s="7">
        <v>4</v>
      </c>
      <c r="D12" s="6">
        <v>3</v>
      </c>
      <c r="E12" s="7">
        <v>1.1499999999999999</v>
      </c>
      <c r="F12" s="6">
        <v>0.7</v>
      </c>
      <c r="G12" s="7">
        <v>0.8</v>
      </c>
      <c r="H12" s="12">
        <f>35*C12*D12*E12*F12*G12</f>
        <v>270.47999999999996</v>
      </c>
    </row>
    <row r="13" spans="1:8" ht="15" customHeight="1" x14ac:dyDescent="0.35">
      <c r="A13" s="2" t="s">
        <v>77</v>
      </c>
      <c r="B13" s="6" t="s">
        <v>65</v>
      </c>
      <c r="C13" s="7">
        <v>4</v>
      </c>
      <c r="D13" s="6">
        <v>2</v>
      </c>
      <c r="E13" s="7">
        <v>1.1499999999999999</v>
      </c>
      <c r="F13" s="6">
        <v>0.85</v>
      </c>
      <c r="G13" s="7">
        <v>0.9</v>
      </c>
      <c r="H13" s="12">
        <f>10*C13*D13*E13*F13*G13</f>
        <v>70.38000000000001</v>
      </c>
    </row>
    <row r="14" spans="1:8" ht="15" customHeight="1" x14ac:dyDescent="0.35">
      <c r="A14" s="2" t="s">
        <v>78</v>
      </c>
      <c r="B14" s="6" t="s">
        <v>79</v>
      </c>
      <c r="C14" s="7">
        <v>6</v>
      </c>
      <c r="D14" s="6">
        <v>2</v>
      </c>
      <c r="E14" s="7">
        <v>1.1499999999999999</v>
      </c>
      <c r="F14" s="6">
        <v>0.55000000000000004</v>
      </c>
      <c r="G14" s="7">
        <v>0.7</v>
      </c>
      <c r="H14" s="12">
        <f>5*C14*D14*E14*F14*G14</f>
        <v>26.565000000000001</v>
      </c>
    </row>
    <row r="15" spans="1:8" ht="15" customHeight="1" x14ac:dyDescent="0.35">
      <c r="A15" s="2" t="s">
        <v>80</v>
      </c>
      <c r="B15" s="6" t="s">
        <v>68</v>
      </c>
      <c r="C15" s="7">
        <v>4</v>
      </c>
      <c r="D15" s="6">
        <v>3</v>
      </c>
      <c r="E15" s="7">
        <v>1.1499999999999999</v>
      </c>
      <c r="F15" s="6">
        <v>0.85</v>
      </c>
      <c r="G15" s="7">
        <v>0.9</v>
      </c>
      <c r="H15" s="12">
        <f>2*C15*D15*E15*F15*G15</f>
        <v>21.113999999999997</v>
      </c>
    </row>
    <row r="16" spans="1:8" ht="15" customHeight="1" x14ac:dyDescent="0.35">
      <c r="A16" s="55" t="s">
        <v>81</v>
      </c>
      <c r="B16" s="55"/>
      <c r="C16" s="55"/>
      <c r="D16" s="55"/>
      <c r="E16" s="55"/>
      <c r="F16" s="55"/>
      <c r="G16" s="55"/>
      <c r="H16" s="13">
        <f>SUM(H12:H15)</f>
        <v>388.53899999999993</v>
      </c>
    </row>
    <row r="18" spans="1:8" ht="19.5" customHeight="1" x14ac:dyDescent="0.35">
      <c r="A18" s="52" t="s">
        <v>82</v>
      </c>
      <c r="B18" s="52"/>
      <c r="C18" s="52"/>
      <c r="D18" s="52"/>
      <c r="E18" s="52"/>
      <c r="F18" s="52"/>
      <c r="G18" s="52"/>
      <c r="H18" s="52"/>
    </row>
    <row r="19" spans="1:8" ht="15" customHeight="1" x14ac:dyDescent="0.35">
      <c r="A19" s="14" t="s">
        <v>83</v>
      </c>
      <c r="B19" s="49">
        <f>G8</f>
        <v>116</v>
      </c>
      <c r="C19" s="49"/>
      <c r="D19" s="49"/>
      <c r="E19" s="49"/>
      <c r="F19" s="49"/>
      <c r="G19" s="49"/>
      <c r="H19" s="49"/>
    </row>
    <row r="20" spans="1:8" ht="15" customHeight="1" x14ac:dyDescent="0.35">
      <c r="A20" s="14" t="s">
        <v>84</v>
      </c>
      <c r="B20" s="49">
        <f>H16</f>
        <v>388.53899999999993</v>
      </c>
      <c r="C20" s="49"/>
      <c r="D20" s="49"/>
      <c r="E20" s="49"/>
      <c r="F20" s="49"/>
      <c r="G20" s="49"/>
      <c r="H20" s="49"/>
    </row>
    <row r="21" spans="1:8" ht="15" customHeight="1" x14ac:dyDescent="0.35">
      <c r="A21" s="14" t="s">
        <v>85</v>
      </c>
      <c r="B21" s="49">
        <f>H16-G8</f>
        <v>272.53899999999993</v>
      </c>
      <c r="C21" s="49"/>
      <c r="D21" s="49"/>
      <c r="E21" s="49"/>
      <c r="F21" s="49"/>
      <c r="G21" s="49"/>
      <c r="H21" s="49"/>
    </row>
    <row r="22" spans="1:8" ht="15" customHeight="1" x14ac:dyDescent="0.35">
      <c r="A22" s="14" t="s">
        <v>86</v>
      </c>
      <c r="B22" s="53">
        <f>(H16-G8)/G8</f>
        <v>2.349474137931034</v>
      </c>
      <c r="C22" s="53"/>
      <c r="D22" s="53"/>
      <c r="E22" s="53"/>
      <c r="F22" s="53"/>
      <c r="G22" s="53"/>
      <c r="H22" s="53"/>
    </row>
    <row r="23" spans="1:8" ht="15" customHeight="1" x14ac:dyDescent="0.35">
      <c r="A23" s="14" t="s">
        <v>87</v>
      </c>
      <c r="B23" s="49">
        <f>G8*1.1</f>
        <v>127.60000000000001</v>
      </c>
      <c r="C23" s="49"/>
      <c r="D23" s="49"/>
      <c r="E23" s="49"/>
      <c r="F23" s="49"/>
      <c r="G23" s="49"/>
      <c r="H23" s="49"/>
    </row>
    <row r="24" spans="1:8" ht="15" customHeight="1" x14ac:dyDescent="0.35">
      <c r="A24" s="14" t="s">
        <v>88</v>
      </c>
      <c r="B24" s="50" t="str">
        <f>IF(H16&gt;=G8*1.1,"YES — surplus achieved","NO")</f>
        <v>YES — surplus achieved</v>
      </c>
      <c r="C24" s="50"/>
      <c r="D24" s="50"/>
      <c r="E24" s="50"/>
      <c r="F24" s="50"/>
      <c r="G24" s="50"/>
      <c r="H24" s="50"/>
    </row>
    <row r="25" spans="1:8" ht="15" customHeight="1" x14ac:dyDescent="0.35">
      <c r="A25" s="14" t="s">
        <v>89</v>
      </c>
      <c r="B25" s="49">
        <f>H16-G8*1.1</f>
        <v>260.93899999999991</v>
      </c>
      <c r="C25" s="49"/>
      <c r="D25" s="49"/>
      <c r="E25" s="49"/>
      <c r="F25" s="49"/>
      <c r="G25" s="49"/>
      <c r="H25" s="49"/>
    </row>
    <row r="27" spans="1:8" ht="19.5" customHeight="1" x14ac:dyDescent="0.35">
      <c r="A27" s="45" t="s">
        <v>90</v>
      </c>
      <c r="B27" s="45"/>
      <c r="C27" s="45"/>
      <c r="D27" s="45"/>
      <c r="E27" s="45"/>
      <c r="F27" s="45"/>
      <c r="G27" s="45"/>
      <c r="H27" s="45"/>
    </row>
    <row r="28" spans="1:8" ht="15" customHeight="1" x14ac:dyDescent="0.35">
      <c r="A28" s="5" t="s">
        <v>91</v>
      </c>
      <c r="B28" s="5" t="s">
        <v>92</v>
      </c>
      <c r="C28" s="5" t="s">
        <v>93</v>
      </c>
      <c r="D28" s="5" t="s">
        <v>94</v>
      </c>
      <c r="E28" s="5"/>
      <c r="F28" s="5"/>
      <c r="G28" s="5"/>
      <c r="H28" s="5"/>
    </row>
    <row r="29" spans="1:8" ht="15" customHeight="1" x14ac:dyDescent="0.35">
      <c r="A29" s="15" t="s">
        <v>95</v>
      </c>
      <c r="B29" s="16">
        <v>12000</v>
      </c>
      <c r="C29" s="17">
        <f>B25</f>
        <v>260.93899999999991</v>
      </c>
      <c r="D29" s="51">
        <f>C29*B29</f>
        <v>3131267.9999999991</v>
      </c>
      <c r="E29" s="51"/>
      <c r="F29" s="51"/>
      <c r="G29" s="51"/>
      <c r="H29" s="51"/>
    </row>
    <row r="30" spans="1:8" ht="15" customHeight="1" x14ac:dyDescent="0.35">
      <c r="A30" s="18" t="s">
        <v>96</v>
      </c>
      <c r="B30" s="19">
        <v>20000</v>
      </c>
      <c r="C30" s="20">
        <f>B25</f>
        <v>260.93899999999991</v>
      </c>
      <c r="D30" s="47">
        <f>C30*B30</f>
        <v>5218779.9999999981</v>
      </c>
      <c r="E30" s="47"/>
      <c r="F30" s="47"/>
      <c r="G30" s="47"/>
      <c r="H30" s="47"/>
    </row>
    <row r="31" spans="1:8" ht="15" customHeight="1" x14ac:dyDescent="0.35">
      <c r="A31" s="3" t="s">
        <v>97</v>
      </c>
      <c r="B31" s="21">
        <v>28000</v>
      </c>
      <c r="C31" s="22">
        <f>B25</f>
        <v>260.93899999999991</v>
      </c>
      <c r="D31" s="48">
        <f>C31*B31</f>
        <v>7306291.9999999972</v>
      </c>
      <c r="E31" s="48"/>
      <c r="F31" s="48"/>
      <c r="G31" s="48"/>
      <c r="H31" s="48"/>
    </row>
  </sheetData>
  <mergeCells count="17">
    <mergeCell ref="A1:H1"/>
    <mergeCell ref="A3:H3"/>
    <mergeCell ref="A8:F8"/>
    <mergeCell ref="A10:H10"/>
    <mergeCell ref="A16:G16"/>
    <mergeCell ref="A18:H18"/>
    <mergeCell ref="B19:H19"/>
    <mergeCell ref="B20:H20"/>
    <mergeCell ref="B21:H21"/>
    <mergeCell ref="B22:H22"/>
    <mergeCell ref="D30:H30"/>
    <mergeCell ref="D31:H31"/>
    <mergeCell ref="B23:H23"/>
    <mergeCell ref="B24:H24"/>
    <mergeCell ref="B25:H25"/>
    <mergeCell ref="A27:H27"/>
    <mergeCell ref="D29:H2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
  <sheetViews>
    <sheetView topLeftCell="A3" zoomScale="113" zoomScaleNormal="100" workbookViewId="0">
      <selection activeCell="F14" sqref="F14"/>
    </sheetView>
  </sheetViews>
  <sheetFormatPr defaultColWidth="8.6328125" defaultRowHeight="14.5" x14ac:dyDescent="0.35"/>
  <cols>
    <col min="1" max="1" width="32" customWidth="1"/>
    <col min="2" max="7" width="15" customWidth="1"/>
  </cols>
  <sheetData>
    <row r="1" spans="1:7" ht="27.75" customHeight="1" x14ac:dyDescent="0.35">
      <c r="A1" s="44" t="s">
        <v>98</v>
      </c>
      <c r="B1" s="44"/>
      <c r="C1" s="44"/>
      <c r="D1" s="44"/>
      <c r="E1" s="44"/>
      <c r="F1" s="44"/>
      <c r="G1" s="44"/>
    </row>
    <row r="3" spans="1:7" ht="18" customHeight="1" x14ac:dyDescent="0.35">
      <c r="A3" s="23"/>
      <c r="B3" s="24" t="s">
        <v>99</v>
      </c>
      <c r="C3" s="24" t="s">
        <v>100</v>
      </c>
      <c r="D3" s="24" t="s">
        <v>101</v>
      </c>
      <c r="E3" s="24" t="s">
        <v>102</v>
      </c>
      <c r="F3" s="24" t="s">
        <v>103</v>
      </c>
    </row>
    <row r="4" spans="1:7" ht="19.5" customHeight="1" x14ac:dyDescent="0.35">
      <c r="A4" s="56" t="s">
        <v>104</v>
      </c>
      <c r="B4" s="56"/>
      <c r="C4" s="56"/>
      <c r="D4" s="56"/>
      <c r="E4" s="56"/>
      <c r="F4" s="56"/>
      <c r="G4" s="56"/>
    </row>
    <row r="5" spans="1:7" ht="15" customHeight="1" x14ac:dyDescent="0.35">
      <c r="A5" s="25" t="s">
        <v>105</v>
      </c>
      <c r="B5" s="26"/>
      <c r="C5" s="26"/>
      <c r="D5" s="26"/>
      <c r="E5" s="26"/>
      <c r="F5" s="26"/>
    </row>
    <row r="6" spans="1:7" ht="15" customHeight="1" x14ac:dyDescent="0.35">
      <c r="A6" s="2" t="s">
        <v>106</v>
      </c>
      <c r="B6" s="27">
        <f>150000</f>
        <v>150000</v>
      </c>
      <c r="C6" s="28">
        <v>0</v>
      </c>
      <c r="D6" s="28">
        <v>0</v>
      </c>
      <c r="E6" s="28">
        <v>0</v>
      </c>
      <c r="F6" s="28">
        <v>0</v>
      </c>
    </row>
    <row r="7" spans="1:7" ht="15" customHeight="1" x14ac:dyDescent="0.35">
      <c r="A7" s="29" t="s">
        <v>107</v>
      </c>
      <c r="B7" s="30">
        <f>25000</f>
        <v>25000</v>
      </c>
      <c r="C7" s="30">
        <f>25000</f>
        <v>25000</v>
      </c>
      <c r="D7" s="30">
        <f>25000</f>
        <v>25000</v>
      </c>
      <c r="E7" s="30">
        <f>25000</f>
        <v>25000</v>
      </c>
      <c r="F7" s="30">
        <f>25000</f>
        <v>25000</v>
      </c>
    </row>
    <row r="8" spans="1:7" ht="15" customHeight="1" x14ac:dyDescent="0.35">
      <c r="A8" s="2" t="s">
        <v>108</v>
      </c>
      <c r="B8" s="28">
        <f>40000</f>
        <v>40000</v>
      </c>
      <c r="C8" s="28">
        <f>40000</f>
        <v>40000</v>
      </c>
      <c r="D8" s="28">
        <f>40000</f>
        <v>40000</v>
      </c>
      <c r="E8" s="28">
        <f>40000</f>
        <v>40000</v>
      </c>
      <c r="F8" s="28">
        <f>40000</f>
        <v>40000</v>
      </c>
    </row>
    <row r="9" spans="1:7" ht="15" customHeight="1" x14ac:dyDescent="0.35">
      <c r="A9" s="25" t="s">
        <v>109</v>
      </c>
      <c r="B9" s="31">
        <f>150000+25000+40000</f>
        <v>215000</v>
      </c>
      <c r="C9" s="31">
        <f>25000+40000</f>
        <v>65000</v>
      </c>
      <c r="D9" s="31">
        <f>25000+40000</f>
        <v>65000</v>
      </c>
      <c r="E9" s="31">
        <f>25000+40000</f>
        <v>65000</v>
      </c>
      <c r="F9" s="31">
        <f>25000+40000</f>
        <v>65000</v>
      </c>
    </row>
    <row r="10" spans="1:7" ht="15" customHeight="1" x14ac:dyDescent="0.35">
      <c r="A10" s="32" t="s">
        <v>110</v>
      </c>
      <c r="B10" s="33"/>
      <c r="C10" s="33"/>
      <c r="D10" s="33"/>
      <c r="E10" s="33"/>
      <c r="F10" s="33"/>
    </row>
    <row r="11" spans="1:7" ht="15" customHeight="1" x14ac:dyDescent="0.35">
      <c r="A11" s="2" t="s">
        <v>111</v>
      </c>
      <c r="B11" s="28">
        <v>0</v>
      </c>
      <c r="C11" s="28">
        <f>50000</f>
        <v>50000</v>
      </c>
      <c r="D11" s="28">
        <f>50000</f>
        <v>50000</v>
      </c>
      <c r="E11" s="28">
        <f>50000</f>
        <v>50000</v>
      </c>
      <c r="F11" s="28">
        <f>50000</f>
        <v>50000</v>
      </c>
    </row>
    <row r="12" spans="1:7" ht="15" customHeight="1" x14ac:dyDescent="0.35">
      <c r="A12" s="29" t="s">
        <v>42</v>
      </c>
      <c r="B12" s="30">
        <v>0</v>
      </c>
      <c r="C12" s="30">
        <v>0</v>
      </c>
      <c r="D12" s="30">
        <f>25000</f>
        <v>25000</v>
      </c>
      <c r="E12" s="30">
        <f>25000</f>
        <v>25000</v>
      </c>
      <c r="F12" s="30">
        <f>25000</f>
        <v>25000</v>
      </c>
    </row>
    <row r="13" spans="1:7" ht="15" customHeight="1" x14ac:dyDescent="0.35">
      <c r="A13" s="2" t="s">
        <v>112</v>
      </c>
      <c r="B13" s="28">
        <v>0</v>
      </c>
      <c r="C13" s="28">
        <v>0</v>
      </c>
      <c r="D13" s="28">
        <f>5218780</f>
        <v>5218780</v>
      </c>
      <c r="E13" s="28">
        <f>5218780</f>
        <v>5218780</v>
      </c>
      <c r="F13" s="28">
        <f>5218780</f>
        <v>5218780</v>
      </c>
    </row>
    <row r="14" spans="1:7" ht="15" customHeight="1" x14ac:dyDescent="0.35">
      <c r="A14" s="32" t="s">
        <v>113</v>
      </c>
      <c r="B14" s="34">
        <f>IFERROR(B11,0)+IFERROR(B12,0)+IFERROR(B13,0)</f>
        <v>0</v>
      </c>
      <c r="C14" s="34">
        <f>IFERROR(C11,0)+IFERROR(C12,0)+IFERROR(C13,0)</f>
        <v>50000</v>
      </c>
      <c r="D14" s="34">
        <f>IFERROR(D11,0)+IFERROR(D12,0)+IFERROR(D13,0)</f>
        <v>5293780</v>
      </c>
      <c r="E14" s="34">
        <f>IFERROR(E11,0)+IFERROR(E12,0)+IFERROR(E13,0)</f>
        <v>5293780</v>
      </c>
      <c r="F14" s="34">
        <f>IFERROR(F11,0)+IFERROR(F12,0)+IFERROR(F13,0)</f>
        <v>5293780</v>
      </c>
    </row>
    <row r="15" spans="1:7" ht="15" customHeight="1" x14ac:dyDescent="0.35">
      <c r="A15" s="25" t="s">
        <v>114</v>
      </c>
      <c r="B15" s="35">
        <f>B14-B9</f>
        <v>-215000</v>
      </c>
      <c r="C15" s="35">
        <f>C14-C9</f>
        <v>-15000</v>
      </c>
      <c r="D15" s="35">
        <f>D14-D9</f>
        <v>5228780</v>
      </c>
      <c r="E15" s="35">
        <f>E14-E9</f>
        <v>5228780</v>
      </c>
      <c r="F15" s="35">
        <f>F14-F9</f>
        <v>5228780</v>
      </c>
    </row>
    <row r="16" spans="1:7" ht="15" customHeight="1" x14ac:dyDescent="0.35">
      <c r="A16" s="36" t="s">
        <v>115</v>
      </c>
      <c r="B16" s="37">
        <f>B15</f>
        <v>-215000</v>
      </c>
      <c r="C16" s="37">
        <f>B16+C15</f>
        <v>-230000</v>
      </c>
      <c r="D16" s="37">
        <f>C16+D15</f>
        <v>4998780</v>
      </c>
      <c r="E16" s="37">
        <f>D16+E15</f>
        <v>10227560</v>
      </c>
      <c r="F16" s="37">
        <f>E16+F15</f>
        <v>15456340</v>
      </c>
    </row>
    <row r="18" spans="1:7" ht="21.75" customHeight="1" x14ac:dyDescent="0.35">
      <c r="A18" s="57" t="s">
        <v>116</v>
      </c>
      <c r="B18" s="57"/>
      <c r="C18" s="57"/>
      <c r="D18" s="57"/>
      <c r="E18" s="57"/>
      <c r="F18" s="57"/>
      <c r="G18" s="57"/>
    </row>
    <row r="19" spans="1:7" ht="15" customHeight="1" x14ac:dyDescent="0.35">
      <c r="A19" s="38" t="s">
        <v>117</v>
      </c>
      <c r="B19" s="39"/>
      <c r="C19" s="39"/>
      <c r="D19" s="39"/>
      <c r="E19" s="39"/>
      <c r="F19" s="39"/>
    </row>
    <row r="20" spans="1:7" ht="15" customHeight="1" x14ac:dyDescent="0.35">
      <c r="A20" s="2" t="s">
        <v>106</v>
      </c>
      <c r="B20" s="27">
        <f>150000</f>
        <v>150000</v>
      </c>
      <c r="C20" s="28">
        <v>0</v>
      </c>
      <c r="D20" s="28">
        <v>0</v>
      </c>
      <c r="E20" s="28">
        <v>0</v>
      </c>
      <c r="F20" s="28">
        <v>0</v>
      </c>
    </row>
    <row r="21" spans="1:7" ht="15" customHeight="1" x14ac:dyDescent="0.35">
      <c r="A21" s="29" t="s">
        <v>118</v>
      </c>
      <c r="B21" s="30">
        <f>65000*1.2</f>
        <v>78000</v>
      </c>
      <c r="C21" s="30">
        <f>65000*1.2</f>
        <v>78000</v>
      </c>
      <c r="D21" s="30">
        <f>65000*1.2</f>
        <v>78000</v>
      </c>
      <c r="E21" s="30">
        <f>65000*1.2</f>
        <v>78000</v>
      </c>
      <c r="F21" s="30">
        <f>65000*1.2</f>
        <v>78000</v>
      </c>
    </row>
    <row r="22" spans="1:7" ht="15" customHeight="1" x14ac:dyDescent="0.35">
      <c r="A22" s="38" t="s">
        <v>109</v>
      </c>
      <c r="B22" s="1">
        <f>150000+B21</f>
        <v>228000</v>
      </c>
      <c r="C22" s="1">
        <f>C21</f>
        <v>78000</v>
      </c>
      <c r="D22" s="1">
        <f>D21</f>
        <v>78000</v>
      </c>
      <c r="E22" s="1">
        <f>E21</f>
        <v>78000</v>
      </c>
      <c r="F22" s="1">
        <f>F21</f>
        <v>78000</v>
      </c>
    </row>
    <row r="23" spans="1:7" ht="15" customHeight="1" x14ac:dyDescent="0.35">
      <c r="A23" s="32" t="s">
        <v>119</v>
      </c>
      <c r="B23" s="33"/>
      <c r="C23" s="33"/>
      <c r="D23" s="33"/>
      <c r="E23" s="33"/>
      <c r="F23" s="33"/>
    </row>
    <row r="24" spans="1:7" ht="15" customHeight="1" x14ac:dyDescent="0.35">
      <c r="A24" s="2" t="s">
        <v>120</v>
      </c>
      <c r="B24" s="28">
        <v>0</v>
      </c>
      <c r="C24" s="28">
        <v>0</v>
      </c>
      <c r="D24" s="28">
        <f>50000</f>
        <v>50000</v>
      </c>
      <c r="E24" s="28">
        <f>50000</f>
        <v>50000</v>
      </c>
      <c r="F24" s="28">
        <f>50000</f>
        <v>50000</v>
      </c>
    </row>
    <row r="25" spans="1:7" ht="15" customHeight="1" x14ac:dyDescent="0.35">
      <c r="A25" s="29" t="s">
        <v>121</v>
      </c>
      <c r="B25" s="30">
        <v>0</v>
      </c>
      <c r="C25" s="30">
        <v>0</v>
      </c>
      <c r="D25" s="30">
        <v>0</v>
      </c>
      <c r="E25" s="30">
        <f>25000</f>
        <v>25000</v>
      </c>
      <c r="F25" s="30">
        <f>25000</f>
        <v>25000</v>
      </c>
    </row>
    <row r="26" spans="1:7" ht="15" customHeight="1" x14ac:dyDescent="0.35">
      <c r="A26" s="2" t="s">
        <v>122</v>
      </c>
      <c r="B26" s="28">
        <v>0</v>
      </c>
      <c r="C26" s="28">
        <v>0</v>
      </c>
      <c r="D26" s="28">
        <v>0</v>
      </c>
      <c r="E26" s="28">
        <f>3131268</f>
        <v>3131268</v>
      </c>
      <c r="F26" s="28">
        <f>3131268</f>
        <v>3131268</v>
      </c>
    </row>
    <row r="27" spans="1:7" ht="15" customHeight="1" x14ac:dyDescent="0.35">
      <c r="A27" s="32" t="s">
        <v>113</v>
      </c>
      <c r="B27" s="34">
        <f>IFERROR(B24,0)+IFERROR(B25,0)+IFERROR(B26,0)</f>
        <v>0</v>
      </c>
      <c r="C27" s="34">
        <f>IFERROR(C24,0)+IFERROR(C25,0)+IFERROR(C26,0)</f>
        <v>0</v>
      </c>
      <c r="D27" s="34">
        <f>IFERROR(D24,0)+IFERROR(D25,0)+IFERROR(D26,0)</f>
        <v>50000</v>
      </c>
      <c r="E27" s="34">
        <f>IFERROR(E24,0)+IFERROR(E25,0)+IFERROR(E26,0)</f>
        <v>3206268</v>
      </c>
      <c r="F27" s="34">
        <f>IFERROR(F24,0)+IFERROR(F25,0)+IFERROR(F26,0)</f>
        <v>3206268</v>
      </c>
    </row>
    <row r="28" spans="1:7" ht="15" customHeight="1" x14ac:dyDescent="0.35">
      <c r="A28" s="38" t="s">
        <v>114</v>
      </c>
      <c r="B28" s="40">
        <f>B27-B22</f>
        <v>-228000</v>
      </c>
      <c r="C28" s="40">
        <f>C27-C22</f>
        <v>-78000</v>
      </c>
      <c r="D28" s="40">
        <f>D27-D22</f>
        <v>-28000</v>
      </c>
      <c r="E28" s="40">
        <f>E27-E22</f>
        <v>3128268</v>
      </c>
      <c r="F28" s="40">
        <f>F27-F22</f>
        <v>3128268</v>
      </c>
    </row>
    <row r="29" spans="1:7" ht="15" customHeight="1" x14ac:dyDescent="0.35">
      <c r="A29" s="36" t="s">
        <v>115</v>
      </c>
      <c r="B29" s="37">
        <f>B28</f>
        <v>-228000</v>
      </c>
      <c r="C29" s="37">
        <f>B29+C28</f>
        <v>-306000</v>
      </c>
      <c r="D29" s="37">
        <f>C29+D28</f>
        <v>-334000</v>
      </c>
      <c r="E29" s="37">
        <f>D29+E28</f>
        <v>2794268</v>
      </c>
      <c r="F29" s="37">
        <f>E29+F28</f>
        <v>5922536</v>
      </c>
    </row>
  </sheetData>
  <mergeCells count="3">
    <mergeCell ref="A1:G1"/>
    <mergeCell ref="A4:G4"/>
    <mergeCell ref="A18:G1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
  <sheetViews>
    <sheetView topLeftCell="A20" zoomScale="113" zoomScaleNormal="100" workbookViewId="0">
      <selection sqref="A1:C1"/>
    </sheetView>
  </sheetViews>
  <sheetFormatPr defaultColWidth="8.6328125" defaultRowHeight="14.5" x14ac:dyDescent="0.35"/>
  <cols>
    <col min="1" max="1" width="38" customWidth="1"/>
    <col min="2" max="2" width="22" customWidth="1"/>
    <col min="3" max="3" width="30" customWidth="1"/>
  </cols>
  <sheetData>
    <row r="1" spans="1:3" ht="27.75" customHeight="1" x14ac:dyDescent="0.35">
      <c r="A1" s="44" t="s">
        <v>123</v>
      </c>
      <c r="B1" s="44"/>
      <c r="C1" s="44"/>
    </row>
    <row r="3" spans="1:3" ht="19.5" customHeight="1" x14ac:dyDescent="0.35">
      <c r="A3" s="45" t="s">
        <v>124</v>
      </c>
      <c r="B3" s="45"/>
      <c r="C3" s="45"/>
    </row>
    <row r="4" spans="1:3" ht="15" customHeight="1" x14ac:dyDescent="0.35">
      <c r="A4" s="2" t="s">
        <v>125</v>
      </c>
      <c r="B4" s="3" t="s">
        <v>126</v>
      </c>
      <c r="C4" s="10"/>
    </row>
    <row r="5" spans="1:3" ht="15" customHeight="1" x14ac:dyDescent="0.35">
      <c r="A5" s="2" t="s">
        <v>127</v>
      </c>
      <c r="B5" s="3" t="s">
        <v>128</v>
      </c>
      <c r="C5" s="10"/>
    </row>
    <row r="6" spans="1:3" ht="15" customHeight="1" x14ac:dyDescent="0.35">
      <c r="A6" s="2" t="s">
        <v>129</v>
      </c>
      <c r="B6" s="3" t="s">
        <v>130</v>
      </c>
      <c r="C6" s="10"/>
    </row>
    <row r="7" spans="1:3" ht="15" customHeight="1" x14ac:dyDescent="0.35">
      <c r="A7" s="2" t="s">
        <v>131</v>
      </c>
      <c r="B7" s="3" t="s">
        <v>132</v>
      </c>
      <c r="C7" s="10"/>
    </row>
    <row r="8" spans="1:3" ht="15" customHeight="1" x14ac:dyDescent="0.35">
      <c r="A8" s="2" t="s">
        <v>133</v>
      </c>
      <c r="B8" s="3" t="s">
        <v>134</v>
      </c>
      <c r="C8" s="10"/>
    </row>
    <row r="9" spans="1:3" ht="15" customHeight="1" x14ac:dyDescent="0.35">
      <c r="A9" s="2" t="s">
        <v>135</v>
      </c>
      <c r="B9" s="3" t="s">
        <v>136</v>
      </c>
      <c r="C9" s="10"/>
    </row>
    <row r="11" spans="1:3" ht="19.5" customHeight="1" x14ac:dyDescent="0.35">
      <c r="A11" s="45" t="s">
        <v>137</v>
      </c>
      <c r="B11" s="45"/>
      <c r="C11" s="45"/>
    </row>
    <row r="12" spans="1:3" ht="15" customHeight="1" x14ac:dyDescent="0.35">
      <c r="A12" s="2" t="s">
        <v>138</v>
      </c>
      <c r="B12" s="3" t="s">
        <v>139</v>
      </c>
      <c r="C12" s="4" t="s">
        <v>140</v>
      </c>
    </row>
    <row r="13" spans="1:3" ht="15" customHeight="1" x14ac:dyDescent="0.35">
      <c r="A13" s="2" t="s">
        <v>141</v>
      </c>
      <c r="B13" s="3" t="s">
        <v>142</v>
      </c>
      <c r="C13" s="4" t="s">
        <v>143</v>
      </c>
    </row>
    <row r="14" spans="1:3" ht="15" customHeight="1" x14ac:dyDescent="0.35">
      <c r="A14" s="2" t="s">
        <v>144</v>
      </c>
      <c r="B14" s="3" t="s">
        <v>145</v>
      </c>
      <c r="C14" s="4" t="s">
        <v>146</v>
      </c>
    </row>
    <row r="16" spans="1:3" ht="19.5" customHeight="1" x14ac:dyDescent="0.35">
      <c r="A16" s="45" t="s">
        <v>147</v>
      </c>
      <c r="B16" s="45"/>
      <c r="C16" s="45"/>
    </row>
    <row r="17" spans="1:3" ht="15" customHeight="1" x14ac:dyDescent="0.35">
      <c r="A17" s="2" t="s">
        <v>148</v>
      </c>
      <c r="B17" s="3" t="s">
        <v>149</v>
      </c>
      <c r="C17" s="4" t="s">
        <v>150</v>
      </c>
    </row>
    <row r="18" spans="1:3" ht="15" customHeight="1" x14ac:dyDescent="0.35">
      <c r="A18" s="2" t="s">
        <v>151</v>
      </c>
      <c r="B18" s="3" t="s">
        <v>37</v>
      </c>
      <c r="C18" s="4" t="s">
        <v>38</v>
      </c>
    </row>
    <row r="19" spans="1:3" ht="15" customHeight="1" x14ac:dyDescent="0.35">
      <c r="A19" s="2" t="s">
        <v>152</v>
      </c>
      <c r="B19" s="3" t="s">
        <v>153</v>
      </c>
      <c r="C19" s="4" t="s">
        <v>154</v>
      </c>
    </row>
    <row r="20" spans="1:3" ht="15" customHeight="1" x14ac:dyDescent="0.35">
      <c r="A20" s="2" t="s">
        <v>155</v>
      </c>
      <c r="B20" s="3" t="s">
        <v>101</v>
      </c>
      <c r="C20" s="4" t="s">
        <v>156</v>
      </c>
    </row>
    <row r="21" spans="1:3" ht="15" customHeight="1" x14ac:dyDescent="0.35">
      <c r="A21" s="2" t="s">
        <v>157</v>
      </c>
      <c r="B21" s="3" t="s">
        <v>158</v>
      </c>
      <c r="C21" s="4" t="s">
        <v>159</v>
      </c>
    </row>
    <row r="22" spans="1:3" ht="15" customHeight="1" x14ac:dyDescent="0.35">
      <c r="A22" s="2" t="s">
        <v>160</v>
      </c>
      <c r="B22" s="3" t="s">
        <v>161</v>
      </c>
      <c r="C22" s="4" t="s">
        <v>162</v>
      </c>
    </row>
    <row r="23" spans="1:3" ht="15" customHeight="1" x14ac:dyDescent="0.35">
      <c r="A23" s="2" t="s">
        <v>163</v>
      </c>
      <c r="B23" s="3" t="s">
        <v>164</v>
      </c>
      <c r="C23" s="4" t="s">
        <v>165</v>
      </c>
    </row>
    <row r="25" spans="1:3" ht="19.5" customHeight="1" x14ac:dyDescent="0.35">
      <c r="A25" s="45" t="s">
        <v>166</v>
      </c>
      <c r="B25" s="45"/>
      <c r="C25" s="45"/>
    </row>
    <row r="26" spans="1:3" ht="79.5" customHeight="1" x14ac:dyDescent="0.35">
      <c r="A26" s="58" t="s">
        <v>167</v>
      </c>
      <c r="B26" s="58"/>
      <c r="C26" s="58"/>
    </row>
  </sheetData>
  <mergeCells count="6">
    <mergeCell ref="A26:C26"/>
    <mergeCell ref="A1:C1"/>
    <mergeCell ref="A3:C3"/>
    <mergeCell ref="A11:C11"/>
    <mergeCell ref="A16:C16"/>
    <mergeCell ref="A25:C2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D42"/>
  <sheetViews>
    <sheetView showGridLines="0" tabSelected="1" zoomScale="78" zoomScaleNormal="100" workbookViewId="0">
      <selection activeCell="AB7" sqref="AB7"/>
    </sheetView>
  </sheetViews>
  <sheetFormatPr defaultColWidth="8.6328125" defaultRowHeight="14.5" x14ac:dyDescent="0.35"/>
  <cols>
    <col min="1" max="1" width="3" customWidth="1"/>
    <col min="2" max="20" width="7" customWidth="1"/>
  </cols>
  <sheetData>
    <row r="1" spans="2:30" ht="30" customHeight="1" x14ac:dyDescent="0.35">
      <c r="B1" s="41" t="s">
        <v>168</v>
      </c>
      <c r="C1" s="41"/>
      <c r="D1" s="41"/>
      <c r="E1" s="41"/>
      <c r="F1" s="41"/>
      <c r="G1" s="41"/>
      <c r="H1" s="41"/>
      <c r="I1" s="41"/>
      <c r="J1" s="41"/>
      <c r="K1" s="41"/>
      <c r="L1" s="41"/>
      <c r="M1" s="41"/>
      <c r="N1" s="41"/>
      <c r="O1" s="41"/>
      <c r="P1" s="41"/>
      <c r="Q1" s="41"/>
      <c r="R1" s="41"/>
      <c r="S1" s="41"/>
      <c r="T1" s="41"/>
    </row>
    <row r="2" spans="2:30" x14ac:dyDescent="0.35">
      <c r="B2" s="42" t="s">
        <v>169</v>
      </c>
      <c r="C2" s="42"/>
      <c r="D2" s="42"/>
      <c r="E2" s="42"/>
      <c r="F2" s="42"/>
      <c r="G2" s="42"/>
      <c r="H2" s="42"/>
      <c r="I2" s="42"/>
      <c r="J2" s="42"/>
      <c r="K2" s="42"/>
      <c r="L2" s="42" t="s">
        <v>170</v>
      </c>
      <c r="M2" s="42"/>
      <c r="N2" s="42"/>
      <c r="O2" s="42"/>
      <c r="P2" s="42"/>
      <c r="Q2" s="42"/>
      <c r="R2" s="42"/>
      <c r="S2" s="42"/>
      <c r="T2" s="42"/>
      <c r="U2" s="42"/>
      <c r="V2" t="s">
        <v>171</v>
      </c>
      <c r="W2" t="s">
        <v>172</v>
      </c>
      <c r="X2" t="s">
        <v>173</v>
      </c>
      <c r="Y2" t="s">
        <v>174</v>
      </c>
      <c r="Z2" t="s">
        <v>175</v>
      </c>
      <c r="AA2" t="s">
        <v>171</v>
      </c>
      <c r="AB2" t="s">
        <v>176</v>
      </c>
      <c r="AC2" t="s">
        <v>177</v>
      </c>
      <c r="AD2" t="s">
        <v>178</v>
      </c>
    </row>
    <row r="3" spans="2:30" x14ac:dyDescent="0.35">
      <c r="V3" t="s">
        <v>99</v>
      </c>
      <c r="W3">
        <v>-215000</v>
      </c>
      <c r="X3">
        <v>-228000</v>
      </c>
      <c r="Y3">
        <v>-215000</v>
      </c>
      <c r="Z3">
        <v>-228000</v>
      </c>
      <c r="AA3" t="s">
        <v>99</v>
      </c>
      <c r="AB3">
        <v>0</v>
      </c>
      <c r="AC3">
        <v>0</v>
      </c>
      <c r="AD3">
        <v>0</v>
      </c>
    </row>
    <row r="4" spans="2:30" x14ac:dyDescent="0.35">
      <c r="V4" t="s">
        <v>100</v>
      </c>
      <c r="W4">
        <v>-15000</v>
      </c>
      <c r="X4">
        <v>-78000</v>
      </c>
      <c r="Y4">
        <v>-230000</v>
      </c>
      <c r="Z4">
        <v>-306000</v>
      </c>
      <c r="AA4" t="s">
        <v>100</v>
      </c>
      <c r="AB4">
        <v>50000</v>
      </c>
      <c r="AC4">
        <v>0</v>
      </c>
      <c r="AD4">
        <v>0</v>
      </c>
    </row>
    <row r="5" spans="2:30" x14ac:dyDescent="0.35">
      <c r="V5" t="s">
        <v>101</v>
      </c>
      <c r="W5">
        <v>5228780</v>
      </c>
      <c r="X5">
        <v>-28000</v>
      </c>
      <c r="Y5">
        <v>4998780</v>
      </c>
      <c r="Z5">
        <v>-334000</v>
      </c>
      <c r="AA5" t="s">
        <v>101</v>
      </c>
      <c r="AB5">
        <v>50000</v>
      </c>
      <c r="AC5">
        <v>25000</v>
      </c>
      <c r="AD5">
        <v>5218780</v>
      </c>
    </row>
    <row r="6" spans="2:30" x14ac:dyDescent="0.35">
      <c r="V6" t="s">
        <v>102</v>
      </c>
      <c r="W6">
        <v>5228780</v>
      </c>
      <c r="X6">
        <v>3128268</v>
      </c>
      <c r="Y6">
        <v>10227560</v>
      </c>
      <c r="Z6">
        <v>2794268</v>
      </c>
      <c r="AA6" t="s">
        <v>102</v>
      </c>
      <c r="AB6">
        <v>50000</v>
      </c>
      <c r="AC6">
        <v>25000</v>
      </c>
      <c r="AD6">
        <v>5218780</v>
      </c>
    </row>
    <row r="7" spans="2:30" x14ac:dyDescent="0.35">
      <c r="V7" t="s">
        <v>103</v>
      </c>
      <c r="W7">
        <v>5228780</v>
      </c>
      <c r="X7">
        <v>3128268</v>
      </c>
      <c r="Y7">
        <v>15456340</v>
      </c>
      <c r="Z7">
        <v>5922536</v>
      </c>
      <c r="AA7" t="s">
        <v>103</v>
      </c>
      <c r="AB7">
        <v>50000</v>
      </c>
      <c r="AC7">
        <v>25000</v>
      </c>
      <c r="AD7">
        <v>5218780</v>
      </c>
    </row>
    <row r="22" spans="2:21" ht="18" customHeight="1" x14ac:dyDescent="0.35">
      <c r="B22" s="42" t="s">
        <v>179</v>
      </c>
      <c r="C22" s="42"/>
      <c r="D22" s="42"/>
      <c r="E22" s="42"/>
      <c r="F22" s="42"/>
      <c r="G22" s="42"/>
      <c r="H22" s="42"/>
      <c r="I22" s="42"/>
      <c r="J22" s="42"/>
      <c r="K22" s="42"/>
      <c r="L22" s="42"/>
      <c r="M22" s="42"/>
      <c r="N22" s="42"/>
      <c r="O22" s="42"/>
      <c r="P22" s="42"/>
      <c r="Q22" s="42"/>
      <c r="R22" s="42"/>
      <c r="S22" s="42"/>
      <c r="T22" s="42"/>
      <c r="U22" s="42"/>
    </row>
    <row r="42" spans="2:20" x14ac:dyDescent="0.35">
      <c r="B42" s="43" t="s">
        <v>180</v>
      </c>
      <c r="C42" s="43"/>
      <c r="D42" s="43"/>
      <c r="E42" s="43"/>
      <c r="F42" s="43"/>
      <c r="G42" s="43"/>
      <c r="H42" s="43"/>
      <c r="I42" s="43"/>
      <c r="J42" s="43"/>
      <c r="K42" s="43"/>
      <c r="L42" s="43"/>
      <c r="M42" s="43"/>
      <c r="N42" s="43"/>
      <c r="O42" s="43"/>
      <c r="P42" s="43"/>
      <c r="Q42" s="43"/>
      <c r="R42" s="43"/>
      <c r="S42" s="43"/>
      <c r="T42" s="43"/>
    </row>
  </sheetData>
  <mergeCells count="5">
    <mergeCell ref="B1:T1"/>
    <mergeCell ref="B2:K2"/>
    <mergeCell ref="L2:U2"/>
    <mergeCell ref="B22:U22"/>
    <mergeCell ref="B42:T42"/>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Assumptions</vt:lpstr>
      <vt:lpstr>BNG Calculation</vt:lpstr>
      <vt:lpstr>Commercial Forecast</vt:lpstr>
      <vt:lpstr>Output Summary</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David Ayuuya Ayeliga</cp:lastModifiedBy>
  <cp:revision>1</cp:revision>
  <dcterms:created xsi:type="dcterms:W3CDTF">2026-06-13T15:48:32Z</dcterms:created>
  <dcterms:modified xsi:type="dcterms:W3CDTF">2026-06-25T04:09:50Z</dcterms:modified>
  <dc:language>en-US</dc:language>
</cp:coreProperties>
</file>